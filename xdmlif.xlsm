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macroxlsm\"/>
    </mc:Choice>
  </mc:AlternateContent>
  <xr:revisionPtr revIDLastSave="0" documentId="13_ncr:1_{6F22BA7B-1B7A-4C68-BCEE-BB2730257926}" xr6:coauthVersionLast="45" xr6:coauthVersionMax="45" xr10:uidLastSave="{00000000-0000-0000-0000-000000000000}"/>
  <bookViews>
    <workbookView xWindow="29310" yWindow="1515" windowWidth="21600" windowHeight="11385" activeTab="1" xr2:uid="{00000000-000D-0000-FFFF-FFFF00000000}"/>
  </bookViews>
  <sheets>
    <sheet name="калькуляторhhhhhh23122019135443" sheetId="4" r:id="rId1"/>
    <sheet name="2134" sheetId="3" r:id="rId2"/>
  </sheets>
  <functionGroups builtInGroupCount="19"/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6" i="3" l="1"/>
  <c r="H6" i="3"/>
  <c r="K6" i="3" s="1"/>
  <c r="G6" i="3"/>
  <c r="F6" i="3"/>
  <c r="E6" i="3"/>
  <c r="C6" i="3"/>
  <c r="D6" i="3" s="1"/>
  <c r="M5" i="3"/>
  <c r="H5" i="3"/>
  <c r="K5" i="3" s="1"/>
  <c r="G5" i="3"/>
  <c r="F5" i="3"/>
  <c r="E5" i="3"/>
  <c r="C5" i="3"/>
  <c r="D5" i="3" s="1"/>
  <c r="M4" i="3"/>
  <c r="H4" i="3"/>
  <c r="K4" i="3" s="1"/>
  <c r="G4" i="3"/>
  <c r="F4" i="3"/>
  <c r="E4" i="3"/>
  <c r="C4" i="3"/>
  <c r="D4" i="3" s="1"/>
  <c r="M3" i="3"/>
  <c r="H3" i="3"/>
  <c r="K3" i="3" s="1"/>
  <c r="N3" i="3" s="1"/>
  <c r="G3" i="3"/>
  <c r="F3" i="3"/>
  <c r="E3" i="3"/>
  <c r="C3" i="3"/>
  <c r="D3" i="3" s="1"/>
  <c r="M2" i="3"/>
  <c r="H2" i="3"/>
  <c r="K2" i="3" s="1"/>
  <c r="G2" i="3"/>
  <c r="F2" i="3"/>
  <c r="E2" i="3"/>
  <c r="C2" i="3"/>
  <c r="D2" i="3" s="1"/>
  <c r="I2" i="3" l="1"/>
  <c r="O3" i="3"/>
  <c r="I6" i="3"/>
  <c r="J6" i="3" s="1"/>
  <c r="I5" i="3"/>
  <c r="J5" i="3" s="1"/>
  <c r="I4" i="3"/>
  <c r="J4" i="3" s="1"/>
  <c r="I3" i="3"/>
  <c r="J3" i="3" s="1"/>
  <c r="N6" i="3"/>
  <c r="O6" i="3" s="1"/>
  <c r="L6" i="3"/>
  <c r="N4" i="3"/>
  <c r="O4" i="3" s="1"/>
  <c r="L4" i="3"/>
  <c r="N2" i="3"/>
  <c r="O2" i="3" s="1"/>
  <c r="J2" i="3"/>
  <c r="L2" i="3"/>
  <c r="L5" i="3"/>
  <c r="N5" i="3"/>
  <c r="O5" i="3" s="1"/>
  <c r="L3" i="3"/>
</calcChain>
</file>

<file path=xl/sharedStrings.xml><?xml version="1.0" encoding="utf-8"?>
<sst xmlns="http://schemas.openxmlformats.org/spreadsheetml/2006/main" count="123" uniqueCount="47">
  <si>
    <t>Rub</t>
  </si>
  <si>
    <t>HAIR</t>
  </si>
  <si>
    <t>ORAL</t>
  </si>
  <si>
    <t>SKIN CARE</t>
  </si>
  <si>
    <t>SKIN CLEANSING</t>
  </si>
  <si>
    <t>DEO</t>
  </si>
  <si>
    <t>GSV</t>
  </si>
  <si>
    <t>Incr GSV</t>
  </si>
  <si>
    <t>CPP on</t>
  </si>
  <si>
    <t>CPP off</t>
  </si>
  <si>
    <t>TCC</t>
  </si>
  <si>
    <t>A&amp;V</t>
  </si>
  <si>
    <t>Incr Turnover</t>
  </si>
  <si>
    <t>SCC</t>
  </si>
  <si>
    <t>Inr GP</t>
  </si>
  <si>
    <t>ROI, % (w/o BMI)</t>
  </si>
  <si>
    <t>A&amp;P</t>
  </si>
  <si>
    <t xml:space="preserve"> Incr PBI</t>
  </si>
  <si>
    <t>ROI,%</t>
  </si>
  <si>
    <t>STATUS</t>
  </si>
  <si>
    <t>Client Group</t>
  </si>
  <si>
    <t>Owner Name</t>
  </si>
  <si>
    <t>TYPE FOR SPLIT GEN</t>
  </si>
  <si>
    <t>TYPE for split detailed</t>
  </si>
  <si>
    <t>Client GROUP_ AUTO</t>
  </si>
  <si>
    <t>Client</t>
  </si>
  <si>
    <t>Period Promo</t>
  </si>
  <si>
    <t>Period budget fact</t>
  </si>
  <si>
    <t>PRE EVAL</t>
  </si>
  <si>
    <t>KA_DSC</t>
  </si>
  <si>
    <t>Marchenko Svetlana</t>
  </si>
  <si>
    <t>Tailor made type</t>
  </si>
  <si>
    <t>Secondary placement (displays, theaters, parasites etc)</t>
  </si>
  <si>
    <t>KA</t>
  </si>
  <si>
    <t>DIXY</t>
  </si>
  <si>
    <t>Q2 2020</t>
  </si>
  <si>
    <t>Promo ID</t>
  </si>
  <si>
    <t>Comments</t>
  </si>
  <si>
    <t>Category Check (AUTO)</t>
  </si>
  <si>
    <t>Total Investments</t>
  </si>
  <si>
    <t>Manager</t>
  </si>
  <si>
    <t>Promo name</t>
  </si>
  <si>
    <t>калькуляторhhhhhhhhhhhhhhhhhhhhhh</t>
  </si>
  <si>
    <t>Q2 2021</t>
  </si>
  <si>
    <t>Q2 2022</t>
  </si>
  <si>
    <t>Q2 2023</t>
  </si>
  <si>
    <t>Q2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</si>
</sst>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3" formatCode="_-* #,##0.00_-;\-* #,##0.00_-;_-* &quot;-&quot;??_-;_-@_-"/>
    <numFmt numFmtId="164" formatCode="_-* #,##0.00\ _₽_-;\-* #,##0.00\ _₽_-;_-* &quot;-&quot;??\ _₽_-;_-@_-"/>
    <numFmt numFmtId="165" formatCode="_-* #,##0.00_р_._-;\-* #,##0.00_р_._-;_-* &quot;-&quot;??_р_._-;_-@_-"/>
    <numFmt numFmtId="166" formatCode="[$-409]mmm\-yy;@"/>
    <numFmt numFmtId="167" formatCode="_-&quot;€&quot;* #,##0.00_-;\-&quot;€&quot;* #,##0.00_-;_-&quot;€&quot;* &quot;-&quot;??_-;_-@_-"/>
    <numFmt numFmtId="168" formatCode="[$-409]mmm;@"/>
    <numFmt numFmtId="169" formatCode="_-* #,##0_р_._-;\-* #,##0_р_._-;_-* &quot;-&quot;??_р_._-;_-@_-"/>
    <numFmt numFmtId="170" formatCode="0.0%"/>
    <numFmt numFmtId="171" formatCode="_-* #,##0.00_₽_-;\-* #,##0.00_₽_-;_-* &quot;-&quot;??_₽_-;_-@_-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Helv"/>
      <charset val="204"/>
    </font>
    <font>
      <sz val="11"/>
      <color indexed="8"/>
      <name val="Calibri"/>
      <family val="2"/>
      <charset val="204"/>
    </font>
    <font>
      <sz val="10"/>
      <color indexed="8"/>
      <name val="Arial"/>
      <family val="2"/>
    </font>
    <font>
      <sz val="8"/>
      <name val="Arial"/>
      <family val="2"/>
      <charset val="204"/>
    </font>
    <font>
      <u/>
      <sz val="8.5"/>
      <color theme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theme="1"/>
      <name val="Unilever Sans"/>
      <family val="2"/>
      <charset val="204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sz val="8"/>
      <name val="Arial"/>
      <family val="2"/>
    </font>
    <font>
      <b/>
      <sz val="8"/>
      <name val="Arial"/>
      <family val="2"/>
    </font>
    <font>
      <b/>
      <sz val="16"/>
      <color indexed="23"/>
      <name val="Arial"/>
      <family val="2"/>
      <charset val="204"/>
    </font>
    <font>
      <sz val="10"/>
      <color indexed="10"/>
      <name val="Arial"/>
      <family val="2"/>
    </font>
    <font>
      <b/>
      <sz val="18"/>
      <color indexed="62"/>
      <name val="Cambria"/>
      <family val="2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63"/>
      <name val="Calibri"/>
      <family val="2"/>
      <charset val="204"/>
    </font>
    <font>
      <b/>
      <sz val="13"/>
      <color indexed="63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63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b/>
      <sz val="14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11"/>
      <color theme="1"/>
      <name val="Unilever DIN Offc Pro"/>
      <family val="2"/>
    </font>
    <font>
      <sz val="10"/>
      <name val="Arial"/>
      <family val="2"/>
      <charset val="177"/>
    </font>
    <font>
      <sz val="10"/>
      <color indexed="8"/>
      <name val="MS Sans Serif"/>
      <family val="2"/>
      <charset val="204"/>
    </font>
    <font>
      <sz val="11"/>
      <color rgb="FF000000"/>
      <name val="Calibri"/>
      <family val="2"/>
      <charset val="204"/>
      <scheme val="minor"/>
    </font>
    <font>
      <b/>
      <sz val="11"/>
      <color theme="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0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9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5"/>
        <bgColor indexed="55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4"/>
      </patternFill>
    </fill>
    <fill>
      <patternFill patternType="solid">
        <fgColor indexed="26"/>
        <bgColor indexed="64"/>
      </patternFill>
    </fill>
    <fill>
      <patternFill patternType="solid">
        <fgColor indexed="20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theme="4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22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hair">
        <color theme="4"/>
      </left>
      <right style="hair">
        <color theme="4"/>
      </right>
      <top style="hair">
        <color theme="4"/>
      </top>
      <bottom/>
      <diagonal/>
    </border>
  </borders>
  <cellStyleXfs count="322">
    <xf numFmtId="0" fontId="0" fillId="0" borderId="0"/>
    <xf numFmtId="43" fontId="2" fillId="0" borderId="0" applyFont="0" applyFill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0" borderId="0"/>
    <xf numFmtId="0" fontId="5" fillId="0" borderId="0"/>
    <xf numFmtId="0" fontId="6" fillId="0" borderId="0"/>
    <xf numFmtId="0" fontId="5" fillId="0" borderId="0"/>
    <xf numFmtId="165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6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9" fillId="0" borderId="0"/>
    <xf numFmtId="9" fontId="7" fillId="0" borderId="0" applyFont="0" applyFill="0" applyBorder="0" applyAlignment="0" applyProtection="0"/>
    <xf numFmtId="4" fontId="8" fillId="24" borderId="2" applyNumberFormat="0" applyProtection="0">
      <alignment horizontal="left" vertical="center" indent="1"/>
    </xf>
    <xf numFmtId="0" fontId="6" fillId="0" borderId="0"/>
    <xf numFmtId="166" fontId="5" fillId="0" borderId="0"/>
    <xf numFmtId="166" fontId="5" fillId="0" borderId="0"/>
    <xf numFmtId="0" fontId="5" fillId="0" borderId="0"/>
    <xf numFmtId="9" fontId="7" fillId="0" borderId="0" applyFont="0" applyFill="0" applyBorder="0" applyAlignment="0" applyProtection="0"/>
    <xf numFmtId="0" fontId="5" fillId="0" borderId="0"/>
    <xf numFmtId="0" fontId="5" fillId="0" borderId="0"/>
    <xf numFmtId="167" fontId="5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5" fontId="7" fillId="0" borderId="0" applyFont="0" applyFill="0" applyBorder="0" applyAlignment="0" applyProtection="0"/>
    <xf numFmtId="165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7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166" fontId="5" fillId="0" borderId="0"/>
    <xf numFmtId="0" fontId="6" fillId="0" borderId="0"/>
    <xf numFmtId="0" fontId="7" fillId="25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5" borderId="0" applyNumberFormat="0" applyBorder="0" applyAlignment="0" applyProtection="0"/>
    <xf numFmtId="0" fontId="7" fillId="28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27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4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4" fillId="39" borderId="0" applyNumberFormat="0" applyBorder="0" applyAlignment="0" applyProtection="0"/>
    <xf numFmtId="0" fontId="13" fillId="34" borderId="0" applyNumberFormat="0" applyBorder="0" applyAlignment="0" applyProtection="0"/>
    <xf numFmtId="0" fontId="13" fillId="40" borderId="0" applyNumberFormat="0" applyBorder="0" applyAlignment="0" applyProtection="0"/>
    <xf numFmtId="0" fontId="14" fillId="35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4" fillId="33" borderId="0" applyNumberFormat="0" applyBorder="0" applyAlignment="0" applyProtection="0"/>
    <xf numFmtId="0" fontId="13" fillId="43" borderId="0" applyNumberFormat="0" applyBorder="0" applyAlignment="0" applyProtection="0"/>
    <xf numFmtId="0" fontId="13" fillId="44" borderId="0" applyNumberFormat="0" applyBorder="0" applyAlignment="0" applyProtection="0"/>
    <xf numFmtId="0" fontId="14" fillId="45" borderId="0" applyNumberFormat="0" applyBorder="0" applyAlignment="0" applyProtection="0"/>
    <xf numFmtId="165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5" fillId="48" borderId="0" applyNumberFormat="0" applyBorder="0" applyAlignment="0" applyProtection="0"/>
    <xf numFmtId="0" fontId="1" fillId="0" borderId="0"/>
    <xf numFmtId="0" fontId="1" fillId="0" borderId="0"/>
    <xf numFmtId="0" fontId="9" fillId="0" borderId="0"/>
    <xf numFmtId="0" fontId="9" fillId="0" borderId="0"/>
    <xf numFmtId="0" fontId="5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16" fillId="0" borderId="0"/>
    <xf numFmtId="0" fontId="1" fillId="0" borderId="0"/>
    <xf numFmtId="0" fontId="9" fillId="0" borderId="0"/>
    <xf numFmtId="0" fontId="5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0" borderId="0"/>
    <xf numFmtId="168" fontId="1" fillId="0" borderId="0"/>
    <xf numFmtId="0" fontId="1" fillId="0" borderId="0"/>
    <xf numFmtId="0" fontId="1" fillId="0" borderId="0"/>
    <xf numFmtId="0" fontId="1" fillId="0" borderId="0"/>
    <xf numFmtId="0" fontId="16" fillId="0" borderId="0"/>
    <xf numFmtId="0" fontId="1" fillId="0" borderId="0"/>
    <xf numFmtId="9" fontId="9" fillId="0" borderId="0" applyFont="0" applyFill="0" applyBorder="0" applyAlignment="0" applyProtection="0"/>
    <xf numFmtId="4" fontId="8" fillId="49" borderId="3" applyNumberFormat="0" applyProtection="0">
      <alignment vertical="center"/>
    </xf>
    <xf numFmtId="4" fontId="8" fillId="49" borderId="3" applyNumberFormat="0" applyProtection="0">
      <alignment vertical="center"/>
    </xf>
    <xf numFmtId="4" fontId="17" fillId="49" borderId="3" applyNumberFormat="0" applyProtection="0">
      <alignment vertical="center"/>
    </xf>
    <xf numFmtId="4" fontId="17" fillId="49" borderId="3" applyNumberFormat="0" applyProtection="0">
      <alignment vertical="center"/>
    </xf>
    <xf numFmtId="4" fontId="8" fillId="49" borderId="3" applyNumberFormat="0" applyProtection="0">
      <alignment horizontal="left" vertical="center" indent="1"/>
    </xf>
    <xf numFmtId="4" fontId="8" fillId="49" borderId="3" applyNumberFormat="0" applyProtection="0">
      <alignment horizontal="left" vertical="center" indent="1"/>
    </xf>
    <xf numFmtId="4" fontId="8" fillId="49" borderId="3" applyNumberFormat="0" applyProtection="0">
      <alignment horizontal="left" vertical="center" indent="1"/>
    </xf>
    <xf numFmtId="4" fontId="8" fillId="49" borderId="3" applyNumberFormat="0" applyProtection="0">
      <alignment horizontal="left" vertical="center" indent="1"/>
    </xf>
    <xf numFmtId="0" fontId="5" fillId="50" borderId="3" applyNumberFormat="0" applyProtection="0">
      <alignment horizontal="left" vertical="center" indent="1"/>
    </xf>
    <xf numFmtId="0" fontId="5" fillId="50" borderId="3" applyNumberFormat="0" applyProtection="0">
      <alignment horizontal="left" vertical="center" indent="1"/>
    </xf>
    <xf numFmtId="4" fontId="8" fillId="51" borderId="3" applyNumberFormat="0" applyProtection="0">
      <alignment horizontal="right" vertical="center"/>
    </xf>
    <xf numFmtId="4" fontId="8" fillId="51" borderId="3" applyNumberFormat="0" applyProtection="0">
      <alignment horizontal="right" vertical="center"/>
    </xf>
    <xf numFmtId="4" fontId="8" fillId="52" borderId="3" applyNumberFormat="0" applyProtection="0">
      <alignment horizontal="right" vertical="center"/>
    </xf>
    <xf numFmtId="4" fontId="8" fillId="52" borderId="3" applyNumberFormat="0" applyProtection="0">
      <alignment horizontal="right" vertical="center"/>
    </xf>
    <xf numFmtId="4" fontId="8" fillId="53" borderId="3" applyNumberFormat="0" applyProtection="0">
      <alignment horizontal="right" vertical="center"/>
    </xf>
    <xf numFmtId="4" fontId="8" fillId="53" borderId="3" applyNumberFormat="0" applyProtection="0">
      <alignment horizontal="right" vertical="center"/>
    </xf>
    <xf numFmtId="4" fontId="8" fillId="54" borderId="3" applyNumberFormat="0" applyProtection="0">
      <alignment horizontal="right" vertical="center"/>
    </xf>
    <xf numFmtId="4" fontId="8" fillId="54" borderId="3" applyNumberFormat="0" applyProtection="0">
      <alignment horizontal="right" vertical="center"/>
    </xf>
    <xf numFmtId="4" fontId="8" fillId="55" borderId="3" applyNumberFormat="0" applyProtection="0">
      <alignment horizontal="right" vertical="center"/>
    </xf>
    <xf numFmtId="4" fontId="8" fillId="55" borderId="3" applyNumberFormat="0" applyProtection="0">
      <alignment horizontal="right" vertical="center"/>
    </xf>
    <xf numFmtId="4" fontId="8" fillId="56" borderId="3" applyNumberFormat="0" applyProtection="0">
      <alignment horizontal="right" vertical="center"/>
    </xf>
    <xf numFmtId="4" fontId="8" fillId="56" borderId="3" applyNumberFormat="0" applyProtection="0">
      <alignment horizontal="right" vertical="center"/>
    </xf>
    <xf numFmtId="4" fontId="8" fillId="57" borderId="3" applyNumberFormat="0" applyProtection="0">
      <alignment horizontal="right" vertical="center"/>
    </xf>
    <xf numFmtId="4" fontId="8" fillId="57" borderId="3" applyNumberFormat="0" applyProtection="0">
      <alignment horizontal="right" vertical="center"/>
    </xf>
    <xf numFmtId="4" fontId="8" fillId="58" borderId="3" applyNumberFormat="0" applyProtection="0">
      <alignment horizontal="right" vertical="center"/>
    </xf>
    <xf numFmtId="4" fontId="8" fillId="58" borderId="3" applyNumberFormat="0" applyProtection="0">
      <alignment horizontal="right" vertical="center"/>
    </xf>
    <xf numFmtId="4" fontId="8" fillId="59" borderId="3" applyNumberFormat="0" applyProtection="0">
      <alignment horizontal="right" vertical="center"/>
    </xf>
    <xf numFmtId="4" fontId="8" fillId="59" borderId="3" applyNumberFormat="0" applyProtection="0">
      <alignment horizontal="right" vertical="center"/>
    </xf>
    <xf numFmtId="4" fontId="18" fillId="60" borderId="3" applyNumberFormat="0" applyProtection="0">
      <alignment horizontal="left" vertical="center" indent="1"/>
    </xf>
    <xf numFmtId="4" fontId="18" fillId="60" borderId="3" applyNumberFormat="0" applyProtection="0">
      <alignment horizontal="left" vertical="center" indent="1"/>
    </xf>
    <xf numFmtId="4" fontId="8" fillId="61" borderId="4" applyNumberFormat="0" applyProtection="0">
      <alignment horizontal="left" vertical="center" indent="1"/>
    </xf>
    <xf numFmtId="4" fontId="19" fillId="62" borderId="0" applyNumberFormat="0" applyProtection="0">
      <alignment horizontal="left" vertical="center" indent="1"/>
    </xf>
    <xf numFmtId="0" fontId="5" fillId="50" borderId="3" applyNumberFormat="0" applyProtection="0">
      <alignment horizontal="left" vertical="center" indent="1"/>
    </xf>
    <xf numFmtId="0" fontId="5" fillId="50" borderId="3" applyNumberFormat="0" applyProtection="0">
      <alignment horizontal="left" vertical="center" indent="1"/>
    </xf>
    <xf numFmtId="4" fontId="20" fillId="61" borderId="3" applyNumberFormat="0" applyProtection="0">
      <alignment horizontal="left" vertical="center" indent="1"/>
    </xf>
    <xf numFmtId="4" fontId="20" fillId="61" borderId="3" applyNumberFormat="0" applyProtection="0">
      <alignment horizontal="left" vertical="center" indent="1"/>
    </xf>
    <xf numFmtId="4" fontId="20" fillId="63" borderId="3" applyNumberFormat="0" applyProtection="0">
      <alignment horizontal="left" vertical="center" indent="1"/>
    </xf>
    <xf numFmtId="4" fontId="20" fillId="63" borderId="3" applyNumberFormat="0" applyProtection="0">
      <alignment horizontal="left" vertical="center" indent="1"/>
    </xf>
    <xf numFmtId="0" fontId="5" fillId="63" borderId="3" applyNumberFormat="0" applyProtection="0">
      <alignment horizontal="left" vertical="center" indent="1"/>
    </xf>
    <xf numFmtId="0" fontId="5" fillId="63" borderId="3" applyNumberFormat="0" applyProtection="0">
      <alignment horizontal="left" vertical="center" indent="1"/>
    </xf>
    <xf numFmtId="0" fontId="5" fillId="63" borderId="3" applyNumberFormat="0" applyProtection="0">
      <alignment horizontal="left" vertical="center" indent="1"/>
    </xf>
    <xf numFmtId="0" fontId="5" fillId="63" borderId="3" applyNumberFormat="0" applyProtection="0">
      <alignment horizontal="left" vertical="center" indent="1"/>
    </xf>
    <xf numFmtId="0" fontId="5" fillId="64" borderId="3" applyNumberFormat="0" applyProtection="0">
      <alignment horizontal="left" vertical="center" indent="1"/>
    </xf>
    <xf numFmtId="0" fontId="5" fillId="64" borderId="3" applyNumberFormat="0" applyProtection="0">
      <alignment horizontal="left" vertical="center" indent="1"/>
    </xf>
    <xf numFmtId="0" fontId="5" fillId="64" borderId="3" applyNumberFormat="0" applyProtection="0">
      <alignment horizontal="left" vertical="center" indent="1"/>
    </xf>
    <xf numFmtId="0" fontId="5" fillId="64" borderId="3" applyNumberFormat="0" applyProtection="0">
      <alignment horizontal="left" vertical="center" indent="1"/>
    </xf>
    <xf numFmtId="0" fontId="5" fillId="65" borderId="3" applyNumberFormat="0" applyProtection="0">
      <alignment horizontal="left" vertical="center" indent="1"/>
    </xf>
    <xf numFmtId="0" fontId="5" fillId="65" borderId="3" applyNumberFormat="0" applyProtection="0">
      <alignment horizontal="left" vertical="center" indent="1"/>
    </xf>
    <xf numFmtId="0" fontId="5" fillId="65" borderId="3" applyNumberFormat="0" applyProtection="0">
      <alignment horizontal="left" vertical="center" indent="1"/>
    </xf>
    <xf numFmtId="0" fontId="5" fillId="65" borderId="3" applyNumberFormat="0" applyProtection="0">
      <alignment horizontal="left" vertical="center" indent="1"/>
    </xf>
    <xf numFmtId="0" fontId="5" fillId="50" borderId="3" applyNumberFormat="0" applyProtection="0">
      <alignment horizontal="left" vertical="center" indent="1"/>
    </xf>
    <xf numFmtId="0" fontId="5" fillId="50" borderId="3" applyNumberFormat="0" applyProtection="0">
      <alignment horizontal="left" vertical="center" indent="1"/>
    </xf>
    <xf numFmtId="0" fontId="5" fillId="50" borderId="3" applyNumberFormat="0" applyProtection="0">
      <alignment horizontal="left" vertical="center" indent="1"/>
    </xf>
    <xf numFmtId="0" fontId="5" fillId="50" borderId="3" applyNumberFormat="0" applyProtection="0">
      <alignment horizontal="left" vertical="center" indent="1"/>
    </xf>
    <xf numFmtId="0" fontId="21" fillId="25" borderId="5" applyNumberFormat="0">
      <protection locked="0"/>
    </xf>
    <xf numFmtId="0" fontId="22" fillId="66" borderId="6" applyBorder="0"/>
    <xf numFmtId="0" fontId="22" fillId="66" borderId="6" applyBorder="0"/>
    <xf numFmtId="4" fontId="8" fillId="67" borderId="3" applyNumberFormat="0" applyProtection="0">
      <alignment vertical="center"/>
    </xf>
    <xf numFmtId="4" fontId="8" fillId="67" borderId="3" applyNumberFormat="0" applyProtection="0">
      <alignment vertical="center"/>
    </xf>
    <xf numFmtId="4" fontId="17" fillId="67" borderId="3" applyNumberFormat="0" applyProtection="0">
      <alignment vertical="center"/>
    </xf>
    <xf numFmtId="4" fontId="17" fillId="67" borderId="3" applyNumberFormat="0" applyProtection="0">
      <alignment vertical="center"/>
    </xf>
    <xf numFmtId="4" fontId="8" fillId="67" borderId="3" applyNumberFormat="0" applyProtection="0">
      <alignment horizontal="left" vertical="center" indent="1"/>
    </xf>
    <xf numFmtId="4" fontId="8" fillId="67" borderId="3" applyNumberFormat="0" applyProtection="0">
      <alignment horizontal="left" vertical="center" indent="1"/>
    </xf>
    <xf numFmtId="4" fontId="8" fillId="67" borderId="3" applyNumberFormat="0" applyProtection="0">
      <alignment horizontal="left" vertical="center" indent="1"/>
    </xf>
    <xf numFmtId="4" fontId="8" fillId="67" borderId="3" applyNumberFormat="0" applyProtection="0">
      <alignment horizontal="left" vertical="center" indent="1"/>
    </xf>
    <xf numFmtId="4" fontId="8" fillId="61" borderId="3" applyNumberFormat="0" applyProtection="0">
      <alignment horizontal="right" vertical="center"/>
    </xf>
    <xf numFmtId="4" fontId="8" fillId="61" borderId="3" applyNumberFormat="0" applyProtection="0">
      <alignment horizontal="right" vertical="center"/>
    </xf>
    <xf numFmtId="4" fontId="17" fillId="61" borderId="3" applyNumberFormat="0" applyProtection="0">
      <alignment horizontal="right" vertical="center"/>
    </xf>
    <xf numFmtId="4" fontId="17" fillId="61" borderId="3" applyNumberFormat="0" applyProtection="0">
      <alignment horizontal="right" vertical="center"/>
    </xf>
    <xf numFmtId="0" fontId="5" fillId="50" borderId="3" applyNumberFormat="0" applyProtection="0">
      <alignment horizontal="left" vertical="center" indent="1"/>
    </xf>
    <xf numFmtId="0" fontId="5" fillId="50" borderId="3" applyNumberFormat="0" applyProtection="0">
      <alignment horizontal="left" vertical="center" indent="1"/>
    </xf>
    <xf numFmtId="0" fontId="5" fillId="50" borderId="3" applyNumberFormat="0" applyProtection="0">
      <alignment horizontal="left" vertical="center" indent="1"/>
    </xf>
    <xf numFmtId="0" fontId="5" fillId="50" borderId="3" applyNumberFormat="0" applyProtection="0">
      <alignment horizontal="left" vertical="center" indent="1"/>
    </xf>
    <xf numFmtId="0" fontId="23" fillId="0" borderId="0"/>
    <xf numFmtId="0" fontId="21" fillId="68" borderId="1"/>
    <xf numFmtId="4" fontId="24" fillId="61" borderId="3" applyNumberFormat="0" applyProtection="0">
      <alignment horizontal="right" vertical="center"/>
    </xf>
    <xf numFmtId="4" fontId="24" fillId="61" borderId="3" applyNumberFormat="0" applyProtection="0">
      <alignment horizontal="right" vertical="center"/>
    </xf>
    <xf numFmtId="0" fontId="25" fillId="0" borderId="0" applyNumberFormat="0" applyFill="0" applyBorder="0" applyAlignment="0" applyProtection="0"/>
    <xf numFmtId="0" fontId="5" fillId="0" borderId="0"/>
    <xf numFmtId="0" fontId="12" fillId="66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27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26" fillId="27" borderId="7" applyNumberFormat="0" applyAlignment="0" applyProtection="0"/>
    <xf numFmtId="0" fontId="26" fillId="27" borderId="7" applyNumberFormat="0" applyAlignment="0" applyProtection="0"/>
    <xf numFmtId="0" fontId="27" fillId="28" borderId="3" applyNumberFormat="0" applyAlignment="0" applyProtection="0"/>
    <xf numFmtId="0" fontId="27" fillId="28" borderId="3" applyNumberFormat="0" applyAlignment="0" applyProtection="0"/>
    <xf numFmtId="0" fontId="28" fillId="28" borderId="7" applyNumberFormat="0" applyAlignment="0" applyProtection="0"/>
    <xf numFmtId="0" fontId="28" fillId="28" borderId="7" applyNumberFormat="0" applyAlignment="0" applyProtection="0"/>
    <xf numFmtId="0" fontId="29" fillId="0" borderId="8" applyNumberFormat="0" applyFill="0" applyAlignment="0" applyProtection="0"/>
    <xf numFmtId="0" fontId="30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31" fillId="0" borderId="11" applyNumberFormat="0" applyFill="0" applyAlignment="0" applyProtection="0"/>
    <xf numFmtId="0" fontId="31" fillId="0" borderId="11" applyNumberFormat="0" applyFill="0" applyAlignment="0" applyProtection="0"/>
    <xf numFmtId="0" fontId="32" fillId="70" borderId="12" applyNumberFormat="0" applyAlignment="0" applyProtection="0"/>
    <xf numFmtId="0" fontId="33" fillId="0" borderId="0" applyNumberFormat="0" applyFill="0" applyBorder="0" applyAlignment="0" applyProtection="0"/>
    <xf numFmtId="0" fontId="34" fillId="29" borderId="0" applyNumberFormat="0" applyBorder="0" applyAlignment="0" applyProtection="0"/>
    <xf numFmtId="0" fontId="35" fillId="71" borderId="0" applyNumberFormat="0" applyBorder="0" applyAlignment="0" applyProtection="0"/>
    <xf numFmtId="0" fontId="36" fillId="0" borderId="0" applyNumberFormat="0" applyFill="0" applyBorder="0" applyAlignment="0" applyProtection="0"/>
    <xf numFmtId="0" fontId="9" fillId="26" borderId="13" applyNumberFormat="0" applyFont="0" applyAlignment="0" applyProtection="0"/>
    <xf numFmtId="0" fontId="9" fillId="26" borderId="13" applyNumberFormat="0" applyFont="0" applyAlignment="0" applyProtection="0"/>
    <xf numFmtId="0" fontId="37" fillId="0" borderId="14" applyNumberFormat="0" applyFill="0" applyAlignment="0" applyProtection="0"/>
    <xf numFmtId="0" fontId="38" fillId="0" borderId="0" applyNumberFormat="0" applyFill="0" applyBorder="0" applyAlignment="0" applyProtection="0"/>
    <xf numFmtId="0" fontId="39" fillId="7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6" fontId="5" fillId="0" borderId="0"/>
    <xf numFmtId="166" fontId="5" fillId="0" borderId="0"/>
    <xf numFmtId="0" fontId="5" fillId="0" borderId="0"/>
    <xf numFmtId="0" fontId="5" fillId="0" borderId="0"/>
    <xf numFmtId="0" fontId="5" fillId="0" borderId="0"/>
    <xf numFmtId="167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2" fillId="69" borderId="0" applyNumberFormat="0" applyBorder="0" applyAlignment="0" applyProtection="0"/>
    <xf numFmtId="0" fontId="2" fillId="0" borderId="0"/>
    <xf numFmtId="0" fontId="42" fillId="0" borderId="0" applyNumberFormat="0" applyFill="0" applyBorder="0" applyAlignment="0" applyProtection="0"/>
    <xf numFmtId="171" fontId="1" fillId="0" borderId="0" applyFont="0" applyFill="0" applyBorder="0" applyAlignment="0" applyProtection="0"/>
    <xf numFmtId="0" fontId="43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4" fillId="0" borderId="0"/>
    <xf numFmtId="9" fontId="44" fillId="0" borderId="0" applyFont="0" applyFill="0" applyBorder="0" applyAlignment="0" applyProtection="0"/>
    <xf numFmtId="164" fontId="44" fillId="0" borderId="0" applyFont="0" applyFill="0" applyBorder="0" applyAlignment="0" applyProtection="0"/>
    <xf numFmtId="0" fontId="21" fillId="73" borderId="2" applyNumberFormat="0" applyProtection="0">
      <alignment horizontal="left" vertical="top" indent="1"/>
    </xf>
    <xf numFmtId="0" fontId="2" fillId="0" borderId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" fillId="0" borderId="0"/>
    <xf numFmtId="165" fontId="1" fillId="0" borderId="0" applyFont="0" applyFill="0" applyBorder="0" applyAlignment="0" applyProtection="0"/>
    <xf numFmtId="0" fontId="45" fillId="0" borderId="0"/>
    <xf numFmtId="165" fontId="1" fillId="0" borderId="0" applyFont="0" applyFill="0" applyBorder="0" applyAlignment="0" applyProtection="0"/>
    <xf numFmtId="0" fontId="21" fillId="66" borderId="2" applyNumberFormat="0" applyProtection="0">
      <alignment horizontal="left" vertical="top" indent="1"/>
    </xf>
    <xf numFmtId="0" fontId="21" fillId="24" borderId="2" applyNumberFormat="0" applyProtection="0">
      <alignment horizontal="left" vertical="top" indent="1"/>
    </xf>
    <xf numFmtId="4" fontId="21" fillId="74" borderId="15" applyNumberFormat="0" applyProtection="0">
      <alignment horizontal="left" vertical="center" indent="1"/>
    </xf>
    <xf numFmtId="0" fontId="46" fillId="0" borderId="0"/>
    <xf numFmtId="0" fontId="46" fillId="0" borderId="0"/>
    <xf numFmtId="43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44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44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44" fillId="0" borderId="0" applyFont="0" applyFill="0" applyBorder="0" applyAlignment="0" applyProtection="0"/>
    <xf numFmtId="164" fontId="5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2" fillId="29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69" borderId="0" applyNumberFormat="0" applyBorder="0" applyAlignment="0" applyProtection="0"/>
    <xf numFmtId="0" fontId="12" fillId="66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12" fillId="27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6" borderId="0" applyNumberFormat="0" applyBorder="0" applyAlignment="0" applyProtection="0"/>
    <xf numFmtId="0" fontId="12" fillId="28" borderId="0" applyNumberFormat="0" applyBorder="0" applyAlignment="0" applyProtection="0"/>
    <xf numFmtId="0" fontId="12" fillId="69" borderId="0" applyNumberFormat="0" applyBorder="0" applyAlignment="0" applyProtection="0"/>
    <xf numFmtId="0" fontId="12" fillId="66" borderId="0" applyNumberFormat="0" applyBorder="0" applyAlignment="0" applyProtection="0"/>
    <xf numFmtId="0" fontId="12" fillId="29" borderId="0" applyNumberFormat="0" applyBorder="0" applyAlignment="0" applyProtection="0"/>
    <xf numFmtId="0" fontId="12" fillId="27" borderId="0" applyNumberFormat="0" applyBorder="0" applyAlignment="0" applyProtection="0"/>
  </cellStyleXfs>
  <cellXfs count="11">
    <xf numFmtId="0" fontId="0" fillId="0" borderId="0" xfId="0"/>
    <xf numFmtId="0" fontId="3" fillId="2" borderId="0" xfId="0" applyFont="1" applyFill="1" applyBorder="1"/>
    <xf numFmtId="0" fontId="0" fillId="3" borderId="0" xfId="0" applyFill="1"/>
    <xf numFmtId="0" fontId="0" fillId="4" borderId="0" xfId="0" applyFill="1"/>
    <xf numFmtId="0" fontId="0" fillId="3" borderId="1" xfId="0" applyFill="1" applyBorder="1"/>
    <xf numFmtId="0" fontId="0" fillId="4" borderId="1" xfId="0" applyFill="1" applyBorder="1"/>
    <xf numFmtId="0" fontId="49" fillId="0" borderId="0" xfId="0" applyFont="1" applyAlignment="1" applyProtection="1">
      <alignment vertical="center" wrapText="1" shrinkToFit="1"/>
      <protection locked="0"/>
    </xf>
    <xf numFmtId="0" fontId="48" fillId="75" borderId="16" xfId="0" applyFont="1" applyFill="1" applyBorder="1" applyAlignment="1" applyProtection="1">
      <alignment horizontal="center" vertical="center" wrapText="1" shrinkToFit="1"/>
      <protection locked="0"/>
    </xf>
    <xf numFmtId="0" fontId="40" fillId="3" borderId="0" xfId="0" applyFont="1" applyFill="1" applyAlignment="1">
      <alignment horizontal="left" wrapText="1"/>
    </xf>
    <xf numFmtId="169" fontId="47" fillId="0" borderId="0" xfId="277" applyNumberFormat="1" applyFont="1" applyBorder="1" applyAlignment="1">
      <alignment wrapText="1"/>
    </xf>
    <xf numFmtId="170" fontId="41" fillId="3" borderId="0" xfId="274" applyNumberFormat="1" applyFont="1" applyFill="1" applyBorder="1" applyAlignment="1">
      <alignment horizontal="center"/>
    </xf>
  </cellXfs>
  <cellStyles count="322">
    <cellStyle name="_x0012_" xfId="58" xr:uid="{3088D782-0AF6-4245-B41E-51B7FF9EF68F}"/>
    <cellStyle name="_x0012_ 2" xfId="59" xr:uid="{E9EED8AA-DB42-47F5-B402-321BFA333161}"/>
    <cellStyle name="_!RF08_2009_HPC_36.26" xfId="20" xr:uid="{3678B4C9-8E82-4ABB-89DB-E3886FA53061}"/>
    <cellStyle name="_!RF08_2009_HPC_36.26 2" xfId="38" xr:uid="{D0576BB2-F48C-45DA-8708-396256FDA1CC}"/>
    <cellStyle name="_!RF08_2009_HPC_36.26 2 2" xfId="249" xr:uid="{1E5F46AF-8A7B-4D12-9B87-F70582C9804D}"/>
    <cellStyle name="_!RF08_2009_HPC_36.26 3" xfId="44" xr:uid="{4E01B5DE-F63F-4750-84C9-F5A1B4D6CA20}"/>
    <cellStyle name="_!RF08_2009_HPC_36.26work" xfId="21" xr:uid="{39415F7F-8A52-455D-8702-8B3E4F58C08F}"/>
    <cellStyle name="_!RF08_2009_HPC_36.26work 2" xfId="39" xr:uid="{BC4FC533-F2B1-47C1-9BC1-7FA8BC584E58}"/>
    <cellStyle name="_!RF08_2009_HPC_36.26work 2 2" xfId="250" xr:uid="{495A4BAD-E731-412E-ACE0-D559C4227F14}"/>
    <cellStyle name="_!RF08_2009_HPC_36.26work 3" xfId="45" xr:uid="{9B79F5E9-72D5-4D79-B6F6-8D4A25BE0E86}"/>
    <cellStyle name="_LYL100_25_Pres" xfId="16" xr:uid="{1E69764B-E218-439F-979C-F35BB6525FC4}"/>
    <cellStyle name="_price" xfId="60" xr:uid="{8227038A-60D7-49A8-8792-A527E6881F74}"/>
    <cellStyle name="_Sheet1" xfId="22" xr:uid="{081275C5-940D-42B8-8F3B-CD23BB82ED6D}"/>
    <cellStyle name="_Sheet1 2" xfId="46" xr:uid="{E2125795-CEC2-4EE4-AF49-38A7D1006F4C}"/>
    <cellStyle name="_Template_Volume" xfId="17" xr:uid="{1E8A3ABF-C007-4D4A-9CAF-67E613279B1F}"/>
    <cellStyle name="_Template_Volume 2" xfId="243" xr:uid="{9EE0C3E9-5A49-40FA-B2E9-EFF7967792B8}"/>
    <cellStyle name="_UA_Imp" xfId="23" xr:uid="{A9684756-92F5-45BF-B97B-56D3DD2500C3}"/>
    <cellStyle name="_UA_Imp 2" xfId="47" xr:uid="{F77D14A8-824A-46F8-8F2E-067D5BBD835A}"/>
    <cellStyle name="_Volumes_RCP Russia 2010_RF01" xfId="24" xr:uid="{BA22E218-7172-4C00-AF60-930B882ACE0D}"/>
    <cellStyle name="0,0_x000d__x000a_NA_x000d__x000a_" xfId="278" xr:uid="{1BF30BCF-7575-4F72-A8B1-83E1484C2460}"/>
    <cellStyle name="20% - Accent1" xfId="2" builtinId="30" customBuiltin="1"/>
    <cellStyle name="20% - Accent2" xfId="4" builtinId="34" customBuiltin="1"/>
    <cellStyle name="20% - Accent3" xfId="6" builtinId="38" customBuiltin="1"/>
    <cellStyle name="20% - Accent4" xfId="8" builtinId="42" customBuiltin="1"/>
    <cellStyle name="20% - Accent5" xfId="10" builtinId="46" customBuiltin="1"/>
    <cellStyle name="20% - Accent6" xfId="12" builtinId="50" customBuiltin="1"/>
    <cellStyle name="20% - Акцент1" xfId="61" xr:uid="{3F353043-8BBA-4B8D-A6C1-944E83BA4F70}"/>
    <cellStyle name="20% - Акцент2" xfId="62" xr:uid="{2A5C21B5-8F4F-4561-9B44-865690880597}"/>
    <cellStyle name="20% - Акцент3" xfId="63" xr:uid="{1CC20D32-34C2-4CEF-A76B-E9686061FAD6}"/>
    <cellStyle name="20% - Акцент4" xfId="64" xr:uid="{66B12341-A4B4-44D3-BAA2-E44C19E085C9}"/>
    <cellStyle name="20% - Акцент5" xfId="65" xr:uid="{214D7DAE-1099-4211-9612-0CC211F5DF7A}"/>
    <cellStyle name="20% - Акцент6" xfId="66" xr:uid="{6655D48F-44FD-4D9B-9DC0-E58AFD0C8598}"/>
    <cellStyle name="40% - Accent1" xfId="3" builtinId="31" customBuiltin="1"/>
    <cellStyle name="40% - Accent2" xfId="5" builtinId="35" customBuiltin="1"/>
    <cellStyle name="40% - Accent3" xfId="7" builtinId="39" customBuiltin="1"/>
    <cellStyle name="40% - Accent4" xfId="9" builtinId="43" customBuiltin="1"/>
    <cellStyle name="40% - Accent5" xfId="11" builtinId="47" customBuiltin="1"/>
    <cellStyle name="40% - Accent6" xfId="13" builtinId="51" customBuiltin="1"/>
    <cellStyle name="40% - Акцент1" xfId="67" xr:uid="{961F005D-16A9-4024-ACE5-720C18CDA951}"/>
    <cellStyle name="40% - Акцент2" xfId="68" xr:uid="{830789FE-FBFB-4415-ABD4-F3BFFA6F96B4}"/>
    <cellStyle name="40% - Акцент3" xfId="69" xr:uid="{05AC16D0-B745-4250-BF1F-01416D98026C}"/>
    <cellStyle name="40% - Акцент4" xfId="70" xr:uid="{962976B8-074F-495D-B350-EBE5C8BC9EDA}"/>
    <cellStyle name="40% - Акцент5" xfId="71" xr:uid="{ED9B3476-BD64-42EF-BD38-82CE850DAD5B}"/>
    <cellStyle name="40% - Акцент6" xfId="72" xr:uid="{75D78177-56D1-4EF5-8ED5-2543444C8609}"/>
    <cellStyle name="60% - Accent1 2" xfId="262" xr:uid="{1953BD6D-851F-46D0-8BEE-4F7B06D685E2}"/>
    <cellStyle name="60% - Accent2 2" xfId="263" xr:uid="{A204B9D8-0459-4C2E-8A80-F902D4375DAC}"/>
    <cellStyle name="60% - Accent3 2" xfId="264" xr:uid="{343774DE-C634-4C39-99FD-5B88F80C4CA7}"/>
    <cellStyle name="60% - Accent4 2" xfId="265" xr:uid="{DB470EF8-ECEA-4291-AEB3-EE00F04BC8E8}"/>
    <cellStyle name="60% - Accent5 2" xfId="266" xr:uid="{461A7967-7511-4745-965F-F41ADBE1B5D1}"/>
    <cellStyle name="60% - Accent6 2" xfId="267" xr:uid="{545EEE1E-3F8C-4E6B-BC69-CC26D77E8D2B}"/>
    <cellStyle name="60% - Акцент1" xfId="73" xr:uid="{3C9076C7-1044-460C-B347-13B69EE8915C}"/>
    <cellStyle name="60% - Акцент2" xfId="74" xr:uid="{C93F7AFE-1ACE-4A20-89C3-0750345AA683}"/>
    <cellStyle name="60% - Акцент3" xfId="75" xr:uid="{94441643-BD16-4A9C-BBC0-5E30E7B466EB}"/>
    <cellStyle name="60% - Акцент4" xfId="76" xr:uid="{4A7BD4D8-24EA-4394-B03B-9C8DEE526771}"/>
    <cellStyle name="60% - Акцент5" xfId="77" xr:uid="{D5F24611-0471-4035-AED4-8825654E7792}"/>
    <cellStyle name="60% - Акцент6" xfId="78" xr:uid="{08CF85C8-9B4C-40D0-93F4-A50455E0BB14}"/>
    <cellStyle name="Accent1 - 20%" xfId="79" xr:uid="{1BA7621B-75F2-47E3-AACB-11EE94583D53}"/>
    <cellStyle name="Accent1 - 40%" xfId="80" xr:uid="{371C0B58-F6BF-48B3-AB76-B49163A3BCCA}"/>
    <cellStyle name="Accent1 - 60%" xfId="81" xr:uid="{7ADA40A0-3057-4D1A-9E38-4D64DEEA66E9}"/>
    <cellStyle name="Accent1 2" xfId="213" xr:uid="{AD57B46B-F56F-4457-96DE-8050D78A2AED}"/>
    <cellStyle name="Accent1 3" xfId="309" xr:uid="{DA51C67D-865A-4ED3-9FA5-653BB110E11E}"/>
    <cellStyle name="Accent1 4" xfId="319" xr:uid="{5455C28B-840B-4EBB-89C2-5AAB20DD90C1}"/>
    <cellStyle name="Accent1 5" xfId="316" xr:uid="{DDDA875F-B2B4-4328-A78F-9261F22D4DE0}"/>
    <cellStyle name="Accent2 - 20%" xfId="82" xr:uid="{3B258330-9F75-46DC-9708-51ED916C319D}"/>
    <cellStyle name="Accent2 - 40%" xfId="83" xr:uid="{55C6B9CB-751D-4E7F-9903-DE7702F71EF6}"/>
    <cellStyle name="Accent2 - 60%" xfId="84" xr:uid="{285C5313-4862-4791-AD40-AA74363C80FB}"/>
    <cellStyle name="Accent2 2" xfId="214" xr:uid="{65F8E38D-4724-460B-B936-E66D7EE62547}"/>
    <cellStyle name="Accent2 3" xfId="310" xr:uid="{8D286791-B610-400A-A019-79BA00695236}"/>
    <cellStyle name="Accent2 4" xfId="317" xr:uid="{2B38D7B3-73AB-441D-BD4B-C90224437184}"/>
    <cellStyle name="Accent2 5" xfId="307" xr:uid="{45E3131D-6F1B-4412-99F4-A147BEEE306A}"/>
    <cellStyle name="Accent3 - 20%" xfId="85" xr:uid="{9870C67A-264A-4826-B84D-BFDFEADFD2B3}"/>
    <cellStyle name="Accent3 - 40%" xfId="86" xr:uid="{9482E5E1-4B0D-493B-B306-F2C018C653C2}"/>
    <cellStyle name="Accent3 - 60%" xfId="87" xr:uid="{9402C2F6-55AC-494A-BDF7-FB563D564242}"/>
    <cellStyle name="Accent3 2" xfId="215" xr:uid="{4676BE2F-6DD2-4BA0-8B50-F94B0CBE4700}"/>
    <cellStyle name="Accent3 3" xfId="311" xr:uid="{20CA8231-6E4B-4A6D-8480-D0E4AFD3A217}"/>
    <cellStyle name="Accent3 4" xfId="320" xr:uid="{5C33C81B-9651-40B1-AAC9-7C1FF9AF5543}"/>
    <cellStyle name="Accent3 5" xfId="305" xr:uid="{C4395FC7-71D5-4749-B7C5-6F54E77922E8}"/>
    <cellStyle name="Accent4 - 20%" xfId="88" xr:uid="{B05A12DC-AE24-4F17-83CA-9720062D9899}"/>
    <cellStyle name="Accent4 - 40%" xfId="89" xr:uid="{9832612A-B367-4E87-AD88-CFEE8EFDD64A}"/>
    <cellStyle name="Accent4 - 60%" xfId="90" xr:uid="{3C02EC65-DB7E-4A8F-B876-7920A5CCA658}"/>
    <cellStyle name="Accent4 2" xfId="216" xr:uid="{3B7370A8-220D-4AF0-91E9-6B7486173CB0}"/>
    <cellStyle name="Accent4 3" xfId="312" xr:uid="{EA24790F-7F60-44BE-B0E5-696BFE175DFF}"/>
    <cellStyle name="Accent4 4" xfId="321" xr:uid="{945A3C83-BC67-4E0B-8CE3-F653A474BA07}"/>
    <cellStyle name="Accent4 5" xfId="306" xr:uid="{C5018E0E-C6E9-44B6-85AA-F0755D236BF7}"/>
    <cellStyle name="Accent5 - 20%" xfId="91" xr:uid="{F28344EF-9140-49E8-80B6-B3774C128602}"/>
    <cellStyle name="Accent5 - 40%" xfId="92" xr:uid="{15FA92BB-3B64-42A7-AF47-67E2DC7B95EF}"/>
    <cellStyle name="Accent5 - 60%" xfId="93" xr:uid="{4EAC809C-F4B6-4EE9-AA4C-3C962A64A171}"/>
    <cellStyle name="Accent5 2" xfId="217" xr:uid="{6BB61027-8576-4040-8D1A-0232A3E275AF}"/>
    <cellStyle name="Accent5 3" xfId="313" xr:uid="{AA92F807-8B15-4B90-8315-5254EA847EF4}"/>
    <cellStyle name="Accent5 4" xfId="318" xr:uid="{D441F661-26A3-4AC7-96B7-6A96F012AC46}"/>
    <cellStyle name="Accent5 5" xfId="257" xr:uid="{C8791D69-A30C-47AA-A868-90A7072845C3}"/>
    <cellStyle name="Accent6 - 20%" xfId="94" xr:uid="{8502E5EC-5050-455C-BD75-2F336657172A}"/>
    <cellStyle name="Accent6 - 40%" xfId="95" xr:uid="{BC9924BB-B226-43BC-9963-EFD5CEAF6307}"/>
    <cellStyle name="Accent6 - 60%" xfId="96" xr:uid="{BEBD9BBF-C739-4648-A0F4-654687A22BF3}"/>
    <cellStyle name="Accent6 2" xfId="218" xr:uid="{5DFC1EB6-49A5-4C8B-8174-F57D9CCE7842}"/>
    <cellStyle name="Accent6 3" xfId="314" xr:uid="{37B5FF6F-56D5-4E29-A552-ED92048E55A9}"/>
    <cellStyle name="Accent6 4" xfId="315" xr:uid="{A4F6E0F9-433D-4747-898F-7C8AC1627199}"/>
    <cellStyle name="Accent6 5" xfId="308" xr:uid="{3ADCFA62-BE77-4EAB-B631-8112CF3C3A93}"/>
    <cellStyle name="Bad 2" xfId="234" xr:uid="{13BAC19E-0589-4B4F-8ADE-092A1B6848F2}"/>
    <cellStyle name="Calculation 2" xfId="223" xr:uid="{A3C263EC-7D28-4EC6-86F2-B81F41057209}"/>
    <cellStyle name="Check Cell 2" xfId="231" xr:uid="{8720E302-7A42-49B8-A38B-6790F4CDDCB3}"/>
    <cellStyle name="Comma 2" xfId="18" xr:uid="{C514AC11-579B-4BED-B542-FB2F719C54E4}"/>
    <cellStyle name="Comma 2 2" xfId="49" xr:uid="{FD07B278-4321-468C-A33C-B5B7AA86BEB5}"/>
    <cellStyle name="Comma 2 2 2" xfId="277" xr:uid="{9EC93484-1E9C-4A99-95BB-6ED7A0AEAD37}"/>
    <cellStyle name="Comma 2 3" xfId="55" xr:uid="{D72AFF30-C737-4007-989C-52253EE2977A}"/>
    <cellStyle name="Comma 2 4" xfId="97" xr:uid="{E9DCE1F5-3B64-42CA-BD8E-114412D82BB0}"/>
    <cellStyle name="Comma 2 5" xfId="275" xr:uid="{0773AE1C-919A-4D14-94DF-35868C86E44E}"/>
    <cellStyle name="Comma 3" xfId="25" xr:uid="{A6628358-2E98-40E3-B4B1-0659F9CA6E63}"/>
    <cellStyle name="Comma 3 2" xfId="50" xr:uid="{D0C9169F-84D6-47CF-BF6A-A94D4CF5905A}"/>
    <cellStyle name="Comma 3 2 2" xfId="254" xr:uid="{7C847538-6360-4F46-95DB-4AA83C250B19}"/>
    <cellStyle name="Comma 3 2 2 2" xfId="288" xr:uid="{CCDB0E68-9DDB-4533-BB1C-F14CF08D0511}"/>
    <cellStyle name="Comma 3 2 2 2 2" xfId="300" xr:uid="{D7915EBF-372F-4848-973A-D92F2554C64A}"/>
    <cellStyle name="Comma 3 2 2 3" xfId="295" xr:uid="{B0F3B7B3-71ED-4EE5-80D2-30D6F677C2C7}"/>
    <cellStyle name="Comma 3 3" xfId="98" xr:uid="{1FF735C8-A25F-488B-8296-3DA6CACADE00}"/>
    <cellStyle name="Comma 3 4" xfId="244" xr:uid="{EDF3C1C4-85AA-423A-83BE-9E0C04F69AF6}"/>
    <cellStyle name="Comma 3 4 2" xfId="286" xr:uid="{F42E9234-A9B1-42A8-8502-25BA99F37D80}"/>
    <cellStyle name="Comma 3 4 2 2" xfId="298" xr:uid="{0B42CA23-045B-49C0-ADF7-2B0472A04C8A}"/>
    <cellStyle name="Comma 3 4 3" xfId="293" xr:uid="{759C8EFF-97CC-457B-8C58-5A60FD0EF535}"/>
    <cellStyle name="Comma 3 5" xfId="270" xr:uid="{B1D134A0-3DB9-45C4-9512-B694F9D90637}"/>
    <cellStyle name="Comma 3 5 2" xfId="290" xr:uid="{FEF03038-11A1-4676-A7F9-8ACFE2F059CC}"/>
    <cellStyle name="Comma 3 5 2 2" xfId="302" xr:uid="{398F3A94-3827-4775-B416-3DFFE2A9DA8F}"/>
    <cellStyle name="Comma 3 5 3" xfId="297" xr:uid="{3C223341-DED0-4624-9496-2B803E483DA7}"/>
    <cellStyle name="Comma 3 6" xfId="279" xr:uid="{5C2C6C5A-D81B-4FBB-B28C-379729A7E241}"/>
    <cellStyle name="Comma 4" xfId="26" xr:uid="{E130D370-783A-4181-91EC-03A43877436F}"/>
    <cellStyle name="Comma 4 2" xfId="51" xr:uid="{A3898ECA-D540-4BA5-B2A4-0D60D5BA72A7}"/>
    <cellStyle name="Comma 4 2 2" xfId="255" xr:uid="{FF405A93-796C-432D-98C8-57475C5B8121}"/>
    <cellStyle name="Comma 4 2 2 2" xfId="289" xr:uid="{4593B5D8-BEE4-40A1-A54C-9EBC37B37A63}"/>
    <cellStyle name="Comma 4 2 2 2 2" xfId="301" xr:uid="{37E75829-9845-42AC-B31B-ABB957C2FE91}"/>
    <cellStyle name="Comma 4 2 2 3" xfId="296" xr:uid="{B25133CD-9A39-4733-92BD-FD082B96FCC2}"/>
    <cellStyle name="Comma 4 3" xfId="99" xr:uid="{49EDD8C7-3BD3-4963-A246-9F99DD22513D}"/>
    <cellStyle name="Comma 4 4" xfId="245" xr:uid="{8652832E-4743-4289-A807-4490B486D3FF}"/>
    <cellStyle name="Comma 4 4 2" xfId="287" xr:uid="{C4FCD7EC-5479-41F3-BDF7-8D7B6879C093}"/>
    <cellStyle name="Comma 4 4 2 2" xfId="299" xr:uid="{49CD0604-171A-45F0-9C34-2B540E0D02C9}"/>
    <cellStyle name="Comma 4 4 3" xfId="294" xr:uid="{6317D030-D495-46B8-93CD-08E86AB63528}"/>
    <cellStyle name="Comma 4 5" xfId="1" xr:uid="{0E3DA591-CC19-4173-969C-81E4AFE007FC}"/>
    <cellStyle name="Comma 4 5 2" xfId="285" xr:uid="{A3B46642-F192-48EB-A804-B1050E717F24}"/>
    <cellStyle name="Comma 4 6" xfId="292" xr:uid="{A9CE0950-8FB7-456C-AEEE-9E1293B1476B}"/>
    <cellStyle name="Comma 4 6 2" xfId="303" xr:uid="{0DFAFE89-7A9C-406B-9BA9-42025497B85E}"/>
    <cellStyle name="Comma 5" xfId="48" xr:uid="{A348E178-9C0E-4BD2-8FC9-A5742A350A64}"/>
    <cellStyle name="Comma 6" xfId="260" xr:uid="{49492BD6-1EBD-4D86-B238-CC18B4FAFE93}"/>
    <cellStyle name="Comma 7" xfId="304" xr:uid="{0D6D47A3-EB82-4CCA-A928-55928F16866C}"/>
    <cellStyle name="Comma 8" xfId="56" xr:uid="{95E209F5-49D1-427A-9956-72D950AD5CE5}"/>
    <cellStyle name="Emphasis 1" xfId="100" xr:uid="{9149E825-5893-4CFF-A35B-87FEAFE52196}"/>
    <cellStyle name="Emphasis 2" xfId="101" xr:uid="{D9BBA629-5C8B-454A-BF7F-914EDA9C2FD6}"/>
    <cellStyle name="Emphasis 3" xfId="102" xr:uid="{ECA25543-A4EF-4625-96FB-5696077E77F6}"/>
    <cellStyle name="Euro" xfId="27" xr:uid="{16F0A9A1-300F-4F56-A364-F7738E4C7C7C}"/>
    <cellStyle name="Euro 2" xfId="40" xr:uid="{F286FE0C-1E5F-4663-A9C6-AFE14F773F54}"/>
    <cellStyle name="Euro 2 2" xfId="251" xr:uid="{39F6E62C-9289-47E4-9D23-C1E59FEE67E0}"/>
    <cellStyle name="Euro 3" xfId="52" xr:uid="{9261885D-536E-4579-8B94-CD9BB0B9B53A}"/>
    <cellStyle name="Explanatory Text 2" xfId="235" xr:uid="{EA22787A-A000-4BAA-97EC-FBC381DBFD76}"/>
    <cellStyle name="Good 2" xfId="240" xr:uid="{5AC082D1-0C70-410B-9BE5-623326D204E1}"/>
    <cellStyle name="Heading 1 2" xfId="225" xr:uid="{43BF60EF-7CE7-4670-9CDF-EACFECED1F2E}"/>
    <cellStyle name="Heading 2 2" xfId="226" xr:uid="{C1D12756-6518-40B0-92A8-5D02962F3532}"/>
    <cellStyle name="Heading 3 2" xfId="227" xr:uid="{4B0809B0-F3E6-421B-9A51-D7558283DDB6}"/>
    <cellStyle name="Heading 4 2" xfId="228" xr:uid="{1172FA42-A74B-4BD2-9BDB-7AC1CAD1519B}"/>
    <cellStyle name="Hyperlink 2" xfId="28" xr:uid="{C047CC27-7B75-4983-A5F9-E6D7E180A992}"/>
    <cellStyle name="Hyperlink 3" xfId="41" xr:uid="{8D4C3C5E-F78C-48A9-B41C-8FE277496BEA}"/>
    <cellStyle name="Input 2" xfId="219" xr:uid="{F685A19F-ADF3-480F-B6FF-1E90521C734D}"/>
    <cellStyle name="Linked Cell 2" xfId="238" xr:uid="{A7FFACAA-3EA7-4D88-A8D5-B864CD496AF9}"/>
    <cellStyle name="Neutral 2" xfId="261" xr:uid="{B1C2335D-2F38-4574-B181-0C934C7E66F5}"/>
    <cellStyle name="Normal" xfId="0" builtinId="0"/>
    <cellStyle name="Normal 10" xfId="103" xr:uid="{2EE7CF8E-E1CB-4857-9FF6-4464275D3D32}"/>
    <cellStyle name="Normal 11" xfId="104" xr:uid="{735E0730-9BAA-4FB5-B895-1121C2AF70DC}"/>
    <cellStyle name="Normal 12" xfId="105" xr:uid="{2B994BFC-BCAB-4F5F-B740-8A1158AB9765}"/>
    <cellStyle name="Normal 12 2" xfId="106" xr:uid="{21608496-2628-4273-B3CC-8728321D489E}"/>
    <cellStyle name="Normal 13" xfId="107" xr:uid="{F768C5A6-F961-41CE-8946-7B970C7A48D7}"/>
    <cellStyle name="Normal 14" xfId="108" xr:uid="{25F30638-FF9C-46C7-9383-9388F145E77A}"/>
    <cellStyle name="Normal 15" xfId="109" xr:uid="{4451B43A-E621-441B-988F-A126B80A54B4}"/>
    <cellStyle name="Normal 16" xfId="110" xr:uid="{9A5A80C0-8D96-4732-AB9C-C8BBA1081825}"/>
    <cellStyle name="Normal 17" xfId="111" xr:uid="{309FD018-FB58-4FD2-B9B4-418634B8334B}"/>
    <cellStyle name="Normal 18" xfId="112" xr:uid="{0529A551-63E5-4DE5-90BC-1004AA180644}"/>
    <cellStyle name="Normal 19" xfId="113" xr:uid="{0B1AA50E-4019-423D-B6F0-CACB9DFCB12C}"/>
    <cellStyle name="Normal 2" xfId="15" xr:uid="{5B668A85-D1D5-4B69-9AF7-0FD62C74110C}"/>
    <cellStyle name="Normal 2 2" xfId="29" xr:uid="{D47EA6C6-BF71-4573-BAF7-9C1BF0B88716}"/>
    <cellStyle name="Normal 2 2 2" xfId="116" xr:uid="{D7079A76-ACC9-4CF8-A9C1-CBF57467260E}"/>
    <cellStyle name="Normal 2 2 3" xfId="115" xr:uid="{34FA44BE-5734-4EF1-B8B8-542C43E6559C}"/>
    <cellStyle name="Normal 2 2 4" xfId="272" xr:uid="{43A4EDFB-558B-4110-9E55-2240BC24B4F5}"/>
    <cellStyle name="Normal 2 2 5" xfId="276" xr:uid="{9F32E5BE-3BA5-416A-B8AC-4F6375709C50}"/>
    <cellStyle name="Normal 2 3" xfId="42" xr:uid="{0E738F59-A76A-47C4-A241-794C2312B7A5}"/>
    <cellStyle name="Normal 2 3 2" xfId="252" xr:uid="{008C79F1-E9BD-4DC4-A1C8-BE2F733DBF48}"/>
    <cellStyle name="Normal 2 3 3" xfId="283" xr:uid="{6BB75AA9-4EBB-4E03-A729-FC6A8F9556C5}"/>
    <cellStyle name="Normal 2 4" xfId="114" xr:uid="{382156FE-964F-4FE4-835B-BA74F3A27245}"/>
    <cellStyle name="Normal 2 5" xfId="258" xr:uid="{B99FC761-83A9-440A-8CA3-75096411FA79}"/>
    <cellStyle name="Normal 20" xfId="117" xr:uid="{B58A3D7C-3702-4204-B83C-547ED572C464}"/>
    <cellStyle name="Normal 21" xfId="118" xr:uid="{90BA9CE7-30B6-4982-9A0F-3D2818FAEA82}"/>
    <cellStyle name="Normal 22" xfId="119" xr:uid="{7D721FE9-7AB0-4BAE-829E-10390C88BEF8}"/>
    <cellStyle name="Normal 23" xfId="120" xr:uid="{753BADBB-C450-42F2-B71C-D53228EA65B7}"/>
    <cellStyle name="Normal 24" xfId="121" xr:uid="{A8A56FF5-7246-4A3F-9512-9CF92E2890EE}"/>
    <cellStyle name="Normal 25" xfId="122" xr:uid="{F5C7AC97-6BDF-44AF-B16F-7C732B52F14F}"/>
    <cellStyle name="Normal 26" xfId="123" xr:uid="{8898E234-50F3-427A-AAAD-E197C021DE04}"/>
    <cellStyle name="Normal 27" xfId="124" xr:uid="{3E038672-02D6-478F-B60C-E3EFA5D1F5BA}"/>
    <cellStyle name="Normal 28" xfId="241" xr:uid="{B5B934EB-B431-4BCF-A3EE-BE79C6F74204}"/>
    <cellStyle name="Normal 28 2" xfId="256" xr:uid="{B61443C3-BFDF-432D-8B76-1F9E4E2CB9CB}"/>
    <cellStyle name="Normal 29" xfId="242" xr:uid="{480ED1D6-3971-4A12-A862-37C82663636B}"/>
    <cellStyle name="Normal 3" xfId="30" xr:uid="{EF504D23-E6F8-4006-A935-D5EAA9A76117}"/>
    <cellStyle name="Normal 3 2" xfId="126" xr:uid="{42B801FF-94F1-4747-988B-95BA143A93CC}"/>
    <cellStyle name="Normal 3 2 2" xfId="284" xr:uid="{9319A176-3496-4013-BC10-CDB98EEC4A12}"/>
    <cellStyle name="Normal 3 3" xfId="125" xr:uid="{18858167-28FA-4153-8D46-D6C4A6C6B00A}"/>
    <cellStyle name="Normal 30" xfId="14" xr:uid="{AACC7295-8689-4F7C-BE05-C85383BC2D3D}"/>
    <cellStyle name="Normal 4" xfId="34" xr:uid="{A0968662-1C31-4E70-87D5-D8354302A55D}"/>
    <cellStyle name="Normal 4 2" xfId="127" xr:uid="{9410EB46-E389-427C-A18D-2ADA8D3418CC}"/>
    <cellStyle name="Normal 4 3" xfId="246" xr:uid="{63D8128A-E03D-4E7B-80F9-7DF13DA6887F}"/>
    <cellStyle name="Normal 4 4" xfId="268" xr:uid="{6C2DA6CC-AC8C-4A00-9562-6B40D7C51B73}"/>
    <cellStyle name="Normal 4 5" xfId="291" xr:uid="{296DCA1F-307E-4B12-9AF3-D3A005F951FB}"/>
    <cellStyle name="Normal 5" xfId="36" xr:uid="{A41E9C95-5F8D-4C90-9C84-FC63FCDA87C1}"/>
    <cellStyle name="Normal 5 2" xfId="43" xr:uid="{985C62CE-078C-44E8-9979-DCF2B0909993}"/>
    <cellStyle name="Normal 5 2 2" xfId="253" xr:uid="{D0AA2FB9-248B-4386-B7A0-1154A5CCE8F7}"/>
    <cellStyle name="Normal 5 3" xfId="128" xr:uid="{1D6090A3-7F3A-48EA-B0B4-F4CB825D1850}"/>
    <cellStyle name="Normal 5 4" xfId="248" xr:uid="{B1F7557A-11A6-435E-9924-A1E849A1245D}"/>
    <cellStyle name="Normal 6" xfId="129" xr:uid="{D9803853-141D-4622-92AB-657427CA59A8}"/>
    <cellStyle name="Normal 7" xfId="130" xr:uid="{F10A2159-19BF-4E10-B57E-0ADA6C392F83}"/>
    <cellStyle name="Normal 8" xfId="131" xr:uid="{A97547C0-C8E7-4E6D-84AD-4E8BAA065BFA}"/>
    <cellStyle name="Normal 9" xfId="132" xr:uid="{0FB44974-10CA-437C-AFF4-7D0CC5AA053A}"/>
    <cellStyle name="Note 2" xfId="236" xr:uid="{A8486605-4CEC-4935-AAAD-EEEB9BC5ADEE}"/>
    <cellStyle name="Output 2" xfId="221" xr:uid="{15048574-B3C5-4B62-AD34-CB8D8BF316DE}"/>
    <cellStyle name="Percent 2" xfId="19" xr:uid="{ABF79A7C-0C3D-47AA-AB1D-0271AD77DC4B}"/>
    <cellStyle name="Percent 2 2" xfId="53" xr:uid="{57822C2E-7CF0-413A-8D97-3B0FF491CCBE}"/>
    <cellStyle name="Percent 2 2 2" xfId="274" xr:uid="{8EB0E96C-D9BB-4CE9-86D5-D2C986DE6D09}"/>
    <cellStyle name="Percent 2 3" xfId="54" xr:uid="{7C8B8D6D-9762-4CF5-A6C8-F93B82CFCC37}"/>
    <cellStyle name="Percent 2 4" xfId="269" xr:uid="{3B7984B0-6047-41F4-9F31-C65A3AFA89A2}"/>
    <cellStyle name="Percent 2 5" xfId="273" xr:uid="{BAA67096-21E1-4F11-9012-37C155B3DFA5}"/>
    <cellStyle name="Percent 3" xfId="37" xr:uid="{E91AC708-7D80-44D9-836C-BD3313CC9B8A}"/>
    <cellStyle name="Percent 3 2" xfId="133" xr:uid="{2C1E8662-AC7D-4089-91DC-F6F22387E9DC}"/>
    <cellStyle name="Percent 4" xfId="31" xr:uid="{1DAF0AD3-6082-48F0-8C4D-44F7A9F23006}"/>
    <cellStyle name="Percent 5" xfId="57" xr:uid="{FCB77A54-1659-4BCA-B32A-B92FB75EB5D2}"/>
    <cellStyle name="SAPBEXaggData" xfId="134" xr:uid="{DE56D422-27AB-41A1-BBB8-9DECEB7EB9E0}"/>
    <cellStyle name="SAPBEXaggData 2" xfId="135" xr:uid="{68C7795D-A80C-482D-962D-466F266DB3FC}"/>
    <cellStyle name="SAPBEXaggDataEmph" xfId="136" xr:uid="{9FB2983E-666B-4597-B448-8F6FB85F19D7}"/>
    <cellStyle name="SAPBEXaggDataEmph 2" xfId="137" xr:uid="{1BF693D3-BD5A-46F8-A172-6E61F326E1F1}"/>
    <cellStyle name="SAPBEXaggItem" xfId="138" xr:uid="{40B2C912-81A9-47D6-9E2E-39F55731BF44}"/>
    <cellStyle name="SAPBEXaggItem 2" xfId="139" xr:uid="{4EA7EAC5-4420-48FC-B9F5-7E7D8A7DBD41}"/>
    <cellStyle name="SAPBEXaggItemX" xfId="140" xr:uid="{CA3AB836-E49C-46C5-A444-713276ABA19E}"/>
    <cellStyle name="SAPBEXaggItemX 2" xfId="141" xr:uid="{69CB399E-5475-48DF-BD32-F2EC06958EFA}"/>
    <cellStyle name="SAPBEXchaText" xfId="142" xr:uid="{741B0393-3E0A-4700-8FB9-A3C928F72D2B}"/>
    <cellStyle name="SAPBEXchaText 2" xfId="143" xr:uid="{7D741680-D8D9-45BA-B7F3-950535BF09AE}"/>
    <cellStyle name="SAPBEXexcBad7" xfId="144" xr:uid="{832FB388-A139-42A1-AFCF-38FFCEF34E50}"/>
    <cellStyle name="SAPBEXexcBad7 2" xfId="145" xr:uid="{8023E2C5-71E6-4CB9-AEBB-947664AA2E4D}"/>
    <cellStyle name="SAPBEXexcBad8" xfId="146" xr:uid="{6E0CEE5E-8322-4018-A483-3FF30F7808B4}"/>
    <cellStyle name="SAPBEXexcBad8 2" xfId="147" xr:uid="{2551D61D-F801-4E4D-A88C-A14237925957}"/>
    <cellStyle name="SAPBEXexcBad9" xfId="148" xr:uid="{94E81A10-37B7-469F-91BC-B01D0F060DC0}"/>
    <cellStyle name="SAPBEXexcBad9 2" xfId="149" xr:uid="{2858AC88-A3DB-4A1D-B7AF-BC0011B812C7}"/>
    <cellStyle name="SAPBEXexcCritical4" xfId="150" xr:uid="{703C1293-59C8-45BA-ACF6-21C758498689}"/>
    <cellStyle name="SAPBEXexcCritical4 2" xfId="151" xr:uid="{0D4AABA7-A57D-4C29-8B6F-9067FAED72E3}"/>
    <cellStyle name="SAPBEXexcCritical5" xfId="152" xr:uid="{AC894E61-F895-445C-B531-7E50D1B9FB75}"/>
    <cellStyle name="SAPBEXexcCritical5 2" xfId="153" xr:uid="{377E5C86-3B61-4539-A6D1-F347DFEA4462}"/>
    <cellStyle name="SAPBEXexcCritical6" xfId="154" xr:uid="{CFA65387-FF18-4962-9FD3-ECDEB1737403}"/>
    <cellStyle name="SAPBEXexcCritical6 2" xfId="155" xr:uid="{ECD7F1A0-F48A-4B46-8FBE-DE724C8F2DB7}"/>
    <cellStyle name="SAPBEXexcGood1" xfId="156" xr:uid="{D3645843-03EF-4CF1-BB29-D12C8604A243}"/>
    <cellStyle name="SAPBEXexcGood1 2" xfId="157" xr:uid="{070858C3-B675-4D2F-A6DB-CCA0C563E0E8}"/>
    <cellStyle name="SAPBEXexcGood2" xfId="158" xr:uid="{3CDF0B4E-2167-4103-8BF7-275070E87915}"/>
    <cellStyle name="SAPBEXexcGood2 2" xfId="159" xr:uid="{0BE8CD8B-EB57-49CC-9F7D-3786DBC8CBEA}"/>
    <cellStyle name="SAPBEXexcGood3" xfId="160" xr:uid="{9BFC8894-D70C-4B23-BC0B-590A0D74D563}"/>
    <cellStyle name="SAPBEXexcGood3 2" xfId="161" xr:uid="{D4DC929A-3E2F-4F20-B3F9-16739BE40189}"/>
    <cellStyle name="SAPBEXfilterDrill" xfId="162" xr:uid="{FC0755C9-9E27-47BC-A815-8D43B400FF68}"/>
    <cellStyle name="SAPBEXfilterDrill 2" xfId="163" xr:uid="{CE58E5DD-7C33-4059-9407-91297F2C2186}"/>
    <cellStyle name="SAPBEXfilterItem" xfId="164" xr:uid="{0441C62F-4327-4FE8-9FAF-0A55569516C3}"/>
    <cellStyle name="SAPBEXfilterText" xfId="165" xr:uid="{90A09D33-2DD7-4402-97E2-4EF0D1BAF760}"/>
    <cellStyle name="SAPBEXformats" xfId="166" xr:uid="{33393B29-DDF6-44DF-8706-A69DA24C5520}"/>
    <cellStyle name="SAPBEXformats 2" xfId="167" xr:uid="{EC867A5A-92A0-43BE-8B38-7FF49F6DEE4B}"/>
    <cellStyle name="SAPBEXheaderItem" xfId="168" xr:uid="{C49A1E33-3D65-4AF9-9A5D-2B010B85276A}"/>
    <cellStyle name="SAPBEXheaderItem 2" xfId="169" xr:uid="{707CE09A-85A2-4703-8805-564520123443}"/>
    <cellStyle name="SAPBEXheaderText" xfId="170" xr:uid="{6687F9D2-E719-40D3-AA47-0B6EB856E27C}"/>
    <cellStyle name="SAPBEXheaderText 2" xfId="171" xr:uid="{131E3623-56D9-407B-A94E-80F28235B0D3}"/>
    <cellStyle name="SAPBEXHLevel0" xfId="172" xr:uid="{1F4E88F4-114D-4B5D-9CAD-9B47C7D875DD}"/>
    <cellStyle name="SAPBEXHLevel0 2" xfId="173" xr:uid="{56824BA2-171B-48D0-B6E3-A7E69D408182}"/>
    <cellStyle name="SAPBEXHLevel0X" xfId="174" xr:uid="{8480B3DD-3A02-432B-9582-E458728449C1}"/>
    <cellStyle name="SAPBEXHLevel0X 2" xfId="175" xr:uid="{155E7B9E-3986-42C8-A79C-DFE82221E441}"/>
    <cellStyle name="SAPBEXHLevel0X 3" xfId="280" xr:uid="{AA2BCAFF-4DE9-4CD7-B571-D724D8F4CCCE}"/>
    <cellStyle name="SAPBEXHLevel1" xfId="176" xr:uid="{6E9651C8-9F88-46FB-9F61-9788BC73D0CE}"/>
    <cellStyle name="SAPBEXHLevel1 2" xfId="177" xr:uid="{171FE882-35B8-47EC-BC4A-723F93CF0639}"/>
    <cellStyle name="SAPBEXHLevel1X" xfId="178" xr:uid="{116005A7-C79C-4D4C-B368-83E8C43A7C7B}"/>
    <cellStyle name="SAPBEXHLevel1X 2" xfId="179" xr:uid="{5DB96598-4386-4D0D-A15E-460ACA591AAF}"/>
    <cellStyle name="SAPBEXHLevel1X 3" xfId="281" xr:uid="{4E058B2C-4A61-4090-9A48-AE9C0958987A}"/>
    <cellStyle name="SAPBEXHLevel2" xfId="180" xr:uid="{8D08D899-D7D5-4748-958B-C53611C711A1}"/>
    <cellStyle name="SAPBEXHLevel2 2" xfId="181" xr:uid="{536F8DD3-F2B6-4339-AF51-9731B58FEAD3}"/>
    <cellStyle name="SAPBEXHLevel2X" xfId="182" xr:uid="{4EE656CC-2724-4165-A362-C48DEC59F508}"/>
    <cellStyle name="SAPBEXHLevel2X 2" xfId="183" xr:uid="{9184819B-9A50-4EA1-A809-8F267EE596FD}"/>
    <cellStyle name="SAPBEXHLevel2X 2 2" xfId="271" xr:uid="{80F4F89A-2DFB-4054-840A-966A33AE6E25}"/>
    <cellStyle name="SAPBEXHLevel3" xfId="184" xr:uid="{FF9927C5-03AF-47D0-95A4-2E796AE971AA}"/>
    <cellStyle name="SAPBEXHLevel3 2" xfId="185" xr:uid="{EC07C340-FD26-46C1-A1FD-9719ABF4AB38}"/>
    <cellStyle name="SAPBEXHLevel3X" xfId="186" xr:uid="{BD3CE345-40E2-41EF-B73F-78DA5A1FDC74}"/>
    <cellStyle name="SAPBEXHLevel3X 2" xfId="187" xr:uid="{6E202233-CA2A-4B5A-BAAE-207C46BDE4D2}"/>
    <cellStyle name="SAPBEXinputData" xfId="188" xr:uid="{FD3E1329-C992-4193-97EF-4F2664C752B8}"/>
    <cellStyle name="SAPBEXItemHeader" xfId="189" xr:uid="{D5869865-B8CB-4367-9782-551487656683}"/>
    <cellStyle name="SAPBEXItemHeader 2" xfId="190" xr:uid="{5AD4D5E8-F376-4978-9105-8ED6AFAD7D90}"/>
    <cellStyle name="SAPBEXresData" xfId="191" xr:uid="{F13ED30B-4F03-4206-9498-B5362A22DDAD}"/>
    <cellStyle name="SAPBEXresData 2" xfId="192" xr:uid="{B9FE2302-F562-491D-AA90-02D60BDE1AF5}"/>
    <cellStyle name="SAPBEXresDataEmph" xfId="193" xr:uid="{19D5DEEA-A3CF-4032-AB57-E06B47A5EFA2}"/>
    <cellStyle name="SAPBEXresDataEmph 2" xfId="194" xr:uid="{270BB68A-7347-427D-A87E-F04EB98ED32D}"/>
    <cellStyle name="SAPBEXresItem" xfId="195" xr:uid="{2DDB32AF-629D-4928-88CB-999F9AC012AE}"/>
    <cellStyle name="SAPBEXresItem 2" xfId="196" xr:uid="{92D234A4-8AD5-425F-96CA-389DA07C95BE}"/>
    <cellStyle name="SAPBEXresItemX" xfId="197" xr:uid="{316C956E-6A35-4AA0-8EE5-F6034183E9CD}"/>
    <cellStyle name="SAPBEXresItemX 2" xfId="198" xr:uid="{388E2E79-6498-4831-9448-67EBA322E7D5}"/>
    <cellStyle name="SAPBEXstdData" xfId="199" xr:uid="{F02FEF66-2D10-41A3-B8D6-A4A47CD45D93}"/>
    <cellStyle name="SAPBEXstdData 2" xfId="200" xr:uid="{0892837A-043C-47BF-A563-9FC55569E7F9}"/>
    <cellStyle name="SAPBEXstdDataEmph" xfId="201" xr:uid="{E8BA98E2-3B22-4BB7-8BBB-D77CD9210B4C}"/>
    <cellStyle name="SAPBEXstdDataEmph 2" xfId="202" xr:uid="{A1DF2A32-F446-4166-87E6-939EB8392A3E}"/>
    <cellStyle name="SAPBEXstdItem" xfId="32" xr:uid="{BE0D361B-A49E-4B3A-A4F4-620C69D55DBF}"/>
    <cellStyle name="SAPBEXstdItem 2" xfId="204" xr:uid="{334BCEDA-FFF0-4FE5-A9A6-8B8B805ED04A}"/>
    <cellStyle name="SAPBEXstdItem 3" xfId="203" xr:uid="{A60465EB-F04E-4E00-B91B-ECC737967413}"/>
    <cellStyle name="SAPBEXstdItem 4" xfId="282" xr:uid="{5BD4D132-1A9E-43ED-8EDE-5935A65E652F}"/>
    <cellStyle name="SAPBEXstdItemX" xfId="205" xr:uid="{A7F0E53B-8DB8-4043-8B14-45AB64DC21A1}"/>
    <cellStyle name="SAPBEXstdItemX 2" xfId="206" xr:uid="{8F78466C-213C-4447-BBCC-2FB807E1C7E4}"/>
    <cellStyle name="SAPBEXtitle" xfId="207" xr:uid="{7BED615D-7726-46B0-807F-4133E8BB6698}"/>
    <cellStyle name="SAPBEXunassignedItem" xfId="208" xr:uid="{FC97B848-0EF1-4F1D-AE6A-09A74E942586}"/>
    <cellStyle name="SAPBEXundefined" xfId="209" xr:uid="{DA3E73DF-8965-438B-9E06-B6DBCB2B5E51}"/>
    <cellStyle name="SAPBEXundefined 2" xfId="210" xr:uid="{788FE1D9-3EFD-4A7B-8A0F-A963BA19C7AF}"/>
    <cellStyle name="Sheet Title" xfId="211" xr:uid="{742B95DF-E675-4699-A9B7-610F8E33F23A}"/>
    <cellStyle name="Style 1" xfId="33" xr:uid="{1AD40C46-0DFE-45D5-9583-3B946CD2C9E1}"/>
    <cellStyle name="Style 1 2" xfId="35" xr:uid="{601FBC0F-7CB5-4557-8E06-B447196DE0FB}"/>
    <cellStyle name="Style 1 2 2" xfId="247" xr:uid="{34F78FF5-1452-486C-9198-4259375E59D9}"/>
    <cellStyle name="Style 1 3" xfId="212" xr:uid="{592E6AD6-EA1F-4EC8-843E-3F000709267B}"/>
    <cellStyle name="Title 2" xfId="259" xr:uid="{68C0AA25-B9A4-472D-A7C0-72C911B10119}"/>
    <cellStyle name="Total 2" xfId="229" xr:uid="{91D7D401-F2F6-4398-B79C-F0AB86AFB449}"/>
    <cellStyle name="Warning Text 2" xfId="239" xr:uid="{4E82ACE6-60E9-4B22-9D0B-19F22E42B655}"/>
    <cellStyle name="Ввод  2" xfId="220" xr:uid="{A783B7AA-D703-4330-9D3C-BBB4F15B89C2}"/>
    <cellStyle name="Вывод 2" xfId="222" xr:uid="{F7FE487D-A6FD-4B8B-B072-C2912FD1CB67}"/>
    <cellStyle name="Вычисление 2" xfId="224" xr:uid="{3E510F53-AF20-426C-8DE5-97142A303652}"/>
    <cellStyle name="Итог 2" xfId="230" xr:uid="{EDECD1DD-ACF3-46B5-911F-CBD6537D9424}"/>
    <cellStyle name="Название" xfId="232" xr:uid="{9D5BCC1F-9392-4256-9C83-3B643C122679}"/>
    <cellStyle name="Нейтральный" xfId="233" xr:uid="{F80FA7E3-0774-4C59-9B19-B6F18CD93B3E}"/>
    <cellStyle name="Примечание 2" xfId="237" xr:uid="{0F920B55-25CB-4472-82FD-4FAA42B4FEEC}"/>
  </cellStyles>
  <dxfs count="1">
    <dxf>
      <fill>
        <patternFill>
          <bgColor theme="4" tint="0.59996337778862885"/>
        </patternFill>
      </fill>
    </dxf>
  </dxfs>
  <tableStyles count="1" defaultTableStyle="TableStyleMedium2" defaultPivotStyle="PivotStyleLight16">
    <tableStyle name="Slicer Style 1" pivot="0" table="0" count="1" xr9:uid="{BEA052EE-B3BF-4615-906D-3D8B32BC6E58}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\Desktop\&#1050;&#1072;&#1083;&#1100;&#1082;&#1091;&#1083;&#1103;&#1090;&#1086;&#1088;\&#1082;&#1072;&#1083;&#1100;&#1082;&#1091;&#1083;&#1103;&#1090;&#1086;&#1088;hhhhhhhhhhhhhhhhhhhhhh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b"/>
      <sheetName val="SCC%"/>
      <sheetName val="PH_LIB"/>
      <sheetName val="RF plan"/>
      <sheetName val="Cat"/>
      <sheetName val="Br"/>
      <sheetName val="contract TTS "/>
      <sheetName val="Retro Bonus_DT"/>
      <sheetName val="DT CAT"/>
      <sheetName val="Instructions"/>
      <sheetName val="Logistis cost"/>
      <sheetName val="PL Pre-Pack DT"/>
      <sheetName val="Pre-Pack Pre-Eval DT"/>
      <sheetName val="Pre-Pack Pre-Eval DT Cat"/>
      <sheetName val="PL Pre-Pack"/>
      <sheetName val="Pre-Pack Pre-Eval"/>
      <sheetName val="Only for Info_ Pre-Eval% TCC"/>
      <sheetName val="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4">
          <cell r="Q4" t="str">
            <v>HAIR</v>
          </cell>
          <cell r="R4" t="str">
            <v>ORAL</v>
          </cell>
          <cell r="S4" t="str">
            <v>SKIN CARE</v>
          </cell>
          <cell r="T4" t="str">
            <v>SKIN CLEANSING</v>
          </cell>
          <cell r="U4" t="str">
            <v>DEO</v>
          </cell>
        </row>
        <row r="14">
          <cell r="B14" t="str">
            <v>P&amp;SC costs, % of GSV</v>
          </cell>
        </row>
        <row r="22">
          <cell r="B22" t="str">
            <v>ROI, %</v>
          </cell>
        </row>
      </sheetData>
      <sheetData sheetId="15"/>
      <sheetData sheetId="16">
        <row r="23">
          <cell r="F23">
            <v>2209454.784</v>
          </cell>
        </row>
        <row r="24">
          <cell r="F24">
            <v>0</v>
          </cell>
        </row>
        <row r="34">
          <cell r="F34">
            <v>1000000</v>
          </cell>
        </row>
        <row r="35">
          <cell r="F35">
            <v>0</v>
          </cell>
        </row>
        <row r="39">
          <cell r="D39" t="str">
            <v>DIXY</v>
          </cell>
          <cell r="AA39">
            <v>267028.10701455566</v>
          </cell>
          <cell r="AB39">
            <v>561600</v>
          </cell>
          <cell r="AC39">
            <v>65145.600000000006</v>
          </cell>
          <cell r="AD39">
            <v>720000</v>
          </cell>
          <cell r="AE39" t="str">
            <v>SKIN CLEANSING</v>
          </cell>
          <cell r="AF39">
            <v>158400</v>
          </cell>
          <cell r="AG39">
            <v>0</v>
          </cell>
          <cell r="AH39">
            <v>93731.04</v>
          </cell>
        </row>
        <row r="40">
          <cell r="AA40">
            <v>86054.639307549034</v>
          </cell>
          <cell r="AB40">
            <v>224640</v>
          </cell>
          <cell r="AC40">
            <v>26058.240000000002</v>
          </cell>
          <cell r="AD40">
            <v>288000</v>
          </cell>
          <cell r="AE40" t="str">
            <v>DEO</v>
          </cell>
          <cell r="AF40">
            <v>63360</v>
          </cell>
          <cell r="AG40">
            <v>0</v>
          </cell>
          <cell r="AH40">
            <v>37492.415999999997</v>
          </cell>
        </row>
        <row r="41">
          <cell r="AA41">
            <v>76874.001887198712</v>
          </cell>
          <cell r="AB41">
            <v>168480</v>
          </cell>
          <cell r="AC41">
            <v>19543.68</v>
          </cell>
          <cell r="AD41">
            <v>216000</v>
          </cell>
          <cell r="AE41" t="str">
            <v>DEO</v>
          </cell>
          <cell r="AF41">
            <v>47520</v>
          </cell>
          <cell r="AG41">
            <v>0</v>
          </cell>
          <cell r="AH41">
            <v>28119.311999999998</v>
          </cell>
        </row>
        <row r="42">
          <cell r="AA42">
            <v>53850.140580611063</v>
          </cell>
          <cell r="AB42">
            <v>112320</v>
          </cell>
          <cell r="AC42">
            <v>13029.12</v>
          </cell>
          <cell r="AD42">
            <v>144000</v>
          </cell>
          <cell r="AE42" t="str">
            <v>DEO</v>
          </cell>
          <cell r="AF42">
            <v>31680</v>
          </cell>
          <cell r="AG42">
            <v>0</v>
          </cell>
          <cell r="AH42">
            <v>18746.207999999999</v>
          </cell>
        </row>
        <row r="43">
          <cell r="AA43">
            <v>130966.66963378106</v>
          </cell>
          <cell r="AB43">
            <v>306000</v>
          </cell>
          <cell r="AC43">
            <v>35496</v>
          </cell>
          <cell r="AD43">
            <v>408000</v>
          </cell>
          <cell r="AE43" t="str">
            <v>HAIR</v>
          </cell>
          <cell r="AF43">
            <v>102000</v>
          </cell>
          <cell r="AG43">
            <v>0</v>
          </cell>
          <cell r="AH43">
            <v>51071.399999999994</v>
          </cell>
        </row>
        <row r="44">
          <cell r="AA44">
            <v>2545120.2330525517</v>
          </cell>
          <cell r="AB44">
            <v>5904000</v>
          </cell>
          <cell r="AC44">
            <v>684864</v>
          </cell>
          <cell r="AD44">
            <v>7872000</v>
          </cell>
          <cell r="AE44" t="str">
            <v>HAIR</v>
          </cell>
          <cell r="AF44">
            <v>1968000</v>
          </cell>
          <cell r="AG44">
            <v>0</v>
          </cell>
          <cell r="AH44">
            <v>985377.6</v>
          </cell>
        </row>
        <row r="45">
          <cell r="AA45">
            <v>103696.74334569079</v>
          </cell>
          <cell r="AB45">
            <v>258336</v>
          </cell>
          <cell r="AC45">
            <v>29966.976000000002</v>
          </cell>
          <cell r="AD45">
            <v>331200</v>
          </cell>
          <cell r="AE45" t="str">
            <v>SKIN CARE</v>
          </cell>
          <cell r="AF45">
            <v>72864</v>
          </cell>
          <cell r="AG45">
            <v>0</v>
          </cell>
          <cell r="AH45">
            <v>43116.278399999996</v>
          </cell>
        </row>
        <row r="46">
          <cell r="AA46">
            <v>1633135.5430963479</v>
          </cell>
          <cell r="AB46">
            <v>3875040</v>
          </cell>
          <cell r="AC46">
            <v>449504.64</v>
          </cell>
          <cell r="AD46">
            <v>4968000</v>
          </cell>
          <cell r="AE46" t="str">
            <v>SKIN CARE</v>
          </cell>
          <cell r="AF46">
            <v>1092960</v>
          </cell>
          <cell r="AG46">
            <v>0</v>
          </cell>
          <cell r="AH46">
            <v>646744.17599999998</v>
          </cell>
        </row>
        <row r="47">
          <cell r="AA47">
            <v>12963.469459310956</v>
          </cell>
          <cell r="AB47">
            <v>43200</v>
          </cell>
          <cell r="AC47">
            <v>5011.2</v>
          </cell>
          <cell r="AD47">
            <v>57600</v>
          </cell>
          <cell r="AE47" t="str">
            <v>ORAL</v>
          </cell>
          <cell r="AF47">
            <v>14400</v>
          </cell>
          <cell r="AG47">
            <v>0</v>
          </cell>
          <cell r="AH47">
            <v>7210.08</v>
          </cell>
        </row>
        <row r="48">
          <cell r="AA48">
            <v>112393.80274576962</v>
          </cell>
          <cell r="AB48">
            <v>367200</v>
          </cell>
          <cell r="AC48">
            <v>42595.200000000004</v>
          </cell>
          <cell r="AD48">
            <v>489600</v>
          </cell>
          <cell r="AE48" t="str">
            <v>ORAL</v>
          </cell>
          <cell r="AF48">
            <v>122400</v>
          </cell>
          <cell r="AG48">
            <v>0</v>
          </cell>
          <cell r="AH48">
            <v>61285.68</v>
          </cell>
        </row>
        <row r="49">
          <cell r="AA49">
            <v>271050.42961522954</v>
          </cell>
          <cell r="AB49">
            <v>714816</v>
          </cell>
          <cell r="AC49">
            <v>82918.656000000003</v>
          </cell>
          <cell r="AD49">
            <v>979200</v>
          </cell>
          <cell r="AE49" t="str">
            <v>ORAL</v>
          </cell>
          <cell r="AF49">
            <v>264384</v>
          </cell>
          <cell r="AG49">
            <v>0</v>
          </cell>
          <cell r="AH49">
            <v>119302.7904</v>
          </cell>
        </row>
        <row r="50">
          <cell r="AA50">
            <v>269280.82047265611</v>
          </cell>
          <cell r="AB50">
            <v>672768</v>
          </cell>
          <cell r="AC50">
            <v>78041.088000000003</v>
          </cell>
          <cell r="AD50">
            <v>921600</v>
          </cell>
          <cell r="AE50" t="str">
            <v>ORAL</v>
          </cell>
          <cell r="AF50">
            <v>248832.00000000003</v>
          </cell>
          <cell r="AG50">
            <v>0</v>
          </cell>
          <cell r="AH50">
            <v>112284.9792</v>
          </cell>
        </row>
        <row r="51">
          <cell r="AA51">
            <v>1133785.3013980084</v>
          </cell>
          <cell r="AB51">
            <v>2817216</v>
          </cell>
          <cell r="AC51">
            <v>326797.05600000004</v>
          </cell>
          <cell r="AD51">
            <v>3859200</v>
          </cell>
          <cell r="AE51" t="str">
            <v>ORAL</v>
          </cell>
          <cell r="AF51">
            <v>1041984.0000000001</v>
          </cell>
          <cell r="AG51">
            <v>0</v>
          </cell>
          <cell r="AH51">
            <v>470193.3504</v>
          </cell>
        </row>
        <row r="52">
          <cell r="AA52">
            <v>1234229.4169199164</v>
          </cell>
          <cell r="AB52">
            <v>2628288</v>
          </cell>
          <cell r="AC52">
            <v>304881.408</v>
          </cell>
          <cell r="AD52">
            <v>3369600</v>
          </cell>
          <cell r="AE52" t="str">
            <v>SKIN CARE</v>
          </cell>
          <cell r="AF52">
            <v>741312</v>
          </cell>
          <cell r="AG52">
            <v>0</v>
          </cell>
          <cell r="AH52">
            <v>438661.2672</v>
          </cell>
        </row>
        <row r="53">
          <cell r="AA53">
            <v>122900.82223281302</v>
          </cell>
          <cell r="AB53">
            <v>393120</v>
          </cell>
          <cell r="AC53">
            <v>45601.920000000006</v>
          </cell>
          <cell r="AD53">
            <v>504000</v>
          </cell>
          <cell r="AE53" t="str">
            <v>HAIR</v>
          </cell>
          <cell r="AF53">
            <v>110880</v>
          </cell>
          <cell r="AG53">
            <v>0</v>
          </cell>
          <cell r="AH53">
            <v>65611.728000000003</v>
          </cell>
        </row>
        <row r="54">
          <cell r="AA54">
            <v>0</v>
          </cell>
          <cell r="AB54">
            <v>0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0</v>
          </cell>
          <cell r="AH54">
            <v>0</v>
          </cell>
        </row>
        <row r="55"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</row>
        <row r="56"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</row>
        <row r="57"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</row>
        <row r="58"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</row>
        <row r="59">
          <cell r="AA59">
            <v>0</v>
          </cell>
          <cell r="AB59">
            <v>0</v>
          </cell>
          <cell r="AC59">
            <v>0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</row>
        <row r="60"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</row>
        <row r="61"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</row>
        <row r="62"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</row>
        <row r="63"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  <cell r="AF63">
            <v>0</v>
          </cell>
          <cell r="AG63">
            <v>0</v>
          </cell>
          <cell r="AH63">
            <v>0</v>
          </cell>
        </row>
        <row r="64"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0</v>
          </cell>
        </row>
        <row r="65"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</row>
        <row r="66"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</row>
        <row r="67"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</row>
        <row r="68"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  <cell r="AF68">
            <v>0</v>
          </cell>
          <cell r="AG68">
            <v>0</v>
          </cell>
          <cell r="AH68">
            <v>0</v>
          </cell>
        </row>
        <row r="69"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0</v>
          </cell>
        </row>
        <row r="70"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  <cell r="AF70">
            <v>0</v>
          </cell>
          <cell r="AG70">
            <v>0</v>
          </cell>
          <cell r="AH70">
            <v>0</v>
          </cell>
        </row>
        <row r="71"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</row>
        <row r="72"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</row>
        <row r="73"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</row>
        <row r="74"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</row>
        <row r="75"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</row>
        <row r="76"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</row>
        <row r="77"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0</v>
          </cell>
        </row>
        <row r="78"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0</v>
          </cell>
        </row>
        <row r="79"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</row>
        <row r="80"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</row>
        <row r="81"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</row>
        <row r="82"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</row>
        <row r="83"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</row>
        <row r="84"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</row>
        <row r="85"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</row>
        <row r="86"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</row>
        <row r="87"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</row>
        <row r="88"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</row>
        <row r="89"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</row>
        <row r="90"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</row>
        <row r="91"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</row>
        <row r="92"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</row>
        <row r="93"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</row>
        <row r="94"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</row>
        <row r="95"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</row>
        <row r="96"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</row>
        <row r="97"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</row>
        <row r="98"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</row>
        <row r="99"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  <cell r="AF99">
            <v>0</v>
          </cell>
          <cell r="AG99">
            <v>0</v>
          </cell>
          <cell r="AH99">
            <v>0</v>
          </cell>
        </row>
        <row r="100"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  <cell r="AF100">
            <v>0</v>
          </cell>
          <cell r="AG100">
            <v>0</v>
          </cell>
          <cell r="AH100">
            <v>0</v>
          </cell>
        </row>
        <row r="101"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</row>
        <row r="102"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</row>
        <row r="103"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</row>
        <row r="104"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</row>
        <row r="105"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</row>
        <row r="106"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</row>
        <row r="107"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</row>
        <row r="108"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</row>
        <row r="109"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</row>
        <row r="110"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</row>
        <row r="111"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</row>
        <row r="112">
          <cell r="AA112">
            <v>0</v>
          </cell>
          <cell r="AB112">
            <v>0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</row>
        <row r="113"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</row>
        <row r="114">
          <cell r="AA114">
            <v>0</v>
          </cell>
          <cell r="AB114">
            <v>0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</row>
        <row r="115">
          <cell r="AA115">
            <v>0</v>
          </cell>
          <cell r="AB115">
            <v>0</v>
          </cell>
          <cell r="AC115">
            <v>0</v>
          </cell>
          <cell r="AD115">
            <v>0</v>
          </cell>
          <cell r="AE115">
            <v>0</v>
          </cell>
          <cell r="AF115">
            <v>0</v>
          </cell>
          <cell r="AG115">
            <v>0</v>
          </cell>
          <cell r="AH115">
            <v>0</v>
          </cell>
        </row>
        <row r="116"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0</v>
          </cell>
          <cell r="AF116">
            <v>0</v>
          </cell>
          <cell r="AG116">
            <v>0</v>
          </cell>
          <cell r="AH116">
            <v>0</v>
          </cell>
        </row>
        <row r="117">
          <cell r="AA117">
            <v>0</v>
          </cell>
          <cell r="AB117">
            <v>0</v>
          </cell>
          <cell r="AC117">
            <v>0</v>
          </cell>
          <cell r="AD117">
            <v>0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</row>
        <row r="118">
          <cell r="AA118">
            <v>0</v>
          </cell>
          <cell r="AB118">
            <v>0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0</v>
          </cell>
          <cell r="AH118">
            <v>0</v>
          </cell>
        </row>
        <row r="119">
          <cell r="AA119">
            <v>0</v>
          </cell>
          <cell r="AB119">
            <v>0</v>
          </cell>
          <cell r="AC119">
            <v>0</v>
          </cell>
          <cell r="AD119">
            <v>0</v>
          </cell>
          <cell r="AE119">
            <v>0</v>
          </cell>
          <cell r="AF119">
            <v>0</v>
          </cell>
          <cell r="AG119">
            <v>0</v>
          </cell>
          <cell r="AH119">
            <v>0</v>
          </cell>
        </row>
        <row r="120">
          <cell r="AA120">
            <v>0</v>
          </cell>
          <cell r="AB120">
            <v>0</v>
          </cell>
          <cell r="AC120">
            <v>0</v>
          </cell>
          <cell r="AD120">
            <v>0</v>
          </cell>
          <cell r="AE120">
            <v>0</v>
          </cell>
          <cell r="AF120">
            <v>0</v>
          </cell>
          <cell r="AG120">
            <v>0</v>
          </cell>
          <cell r="AH120">
            <v>0</v>
          </cell>
        </row>
        <row r="121">
          <cell r="AA121">
            <v>0</v>
          </cell>
          <cell r="AB121">
            <v>0</v>
          </cell>
          <cell r="AC121">
            <v>0</v>
          </cell>
          <cell r="AD121">
            <v>0</v>
          </cell>
          <cell r="AE121">
            <v>0</v>
          </cell>
          <cell r="AF121">
            <v>0</v>
          </cell>
          <cell r="AG121">
            <v>0</v>
          </cell>
          <cell r="AH121">
            <v>0</v>
          </cell>
        </row>
        <row r="122">
          <cell r="AA122">
            <v>0</v>
          </cell>
          <cell r="AB122">
            <v>0</v>
          </cell>
          <cell r="AC122">
            <v>0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</row>
        <row r="123">
          <cell r="AA123">
            <v>0</v>
          </cell>
          <cell r="AB123">
            <v>0</v>
          </cell>
          <cell r="AC123">
            <v>0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</row>
        <row r="124">
          <cell r="AA124">
            <v>0</v>
          </cell>
          <cell r="AB124">
            <v>0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</row>
        <row r="125">
          <cell r="AA125">
            <v>0</v>
          </cell>
          <cell r="AB125">
            <v>0</v>
          </cell>
          <cell r="AC125">
            <v>0</v>
          </cell>
          <cell r="AD125">
            <v>0</v>
          </cell>
          <cell r="AE125">
            <v>0</v>
          </cell>
          <cell r="AF125">
            <v>0</v>
          </cell>
          <cell r="AG125">
            <v>0</v>
          </cell>
          <cell r="AH125">
            <v>0</v>
          </cell>
        </row>
        <row r="126">
          <cell r="AA126">
            <v>0</v>
          </cell>
          <cell r="AB126">
            <v>0</v>
          </cell>
          <cell r="AC126">
            <v>0</v>
          </cell>
          <cell r="AD126">
            <v>0</v>
          </cell>
          <cell r="AE126">
            <v>0</v>
          </cell>
          <cell r="AF126">
            <v>0</v>
          </cell>
          <cell r="AG126">
            <v>0</v>
          </cell>
          <cell r="AH126">
            <v>0</v>
          </cell>
        </row>
        <row r="127">
          <cell r="AA127">
            <v>0</v>
          </cell>
          <cell r="AB127">
            <v>0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</row>
        <row r="128">
          <cell r="AA128">
            <v>0</v>
          </cell>
          <cell r="AB128">
            <v>0</v>
          </cell>
          <cell r="AC128">
            <v>0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0</v>
          </cell>
        </row>
        <row r="129">
          <cell r="AA129">
            <v>0</v>
          </cell>
          <cell r="AB129">
            <v>0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</row>
        <row r="130">
          <cell r="AA130">
            <v>0</v>
          </cell>
          <cell r="AB130">
            <v>0</v>
          </cell>
          <cell r="AC130">
            <v>0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</row>
        <row r="131">
          <cell r="AA131">
            <v>0</v>
          </cell>
          <cell r="AB131">
            <v>0</v>
          </cell>
          <cell r="AC131">
            <v>0</v>
          </cell>
          <cell r="AD131">
            <v>0</v>
          </cell>
          <cell r="AE131">
            <v>0</v>
          </cell>
          <cell r="AF131">
            <v>0</v>
          </cell>
          <cell r="AG131">
            <v>0</v>
          </cell>
          <cell r="AH131">
            <v>0</v>
          </cell>
        </row>
        <row r="132">
          <cell r="AA132">
            <v>0</v>
          </cell>
          <cell r="AB132">
            <v>0</v>
          </cell>
          <cell r="AC132">
            <v>0</v>
          </cell>
          <cell r="AD132">
            <v>0</v>
          </cell>
          <cell r="AE132">
            <v>0</v>
          </cell>
          <cell r="AF132">
            <v>0</v>
          </cell>
          <cell r="AG132">
            <v>0</v>
          </cell>
          <cell r="AH132">
            <v>0</v>
          </cell>
        </row>
        <row r="133">
          <cell r="AA133">
            <v>0</v>
          </cell>
          <cell r="AB133">
            <v>0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</row>
        <row r="134">
          <cell r="AA134">
            <v>0</v>
          </cell>
          <cell r="AB134">
            <v>0</v>
          </cell>
          <cell r="AC134">
            <v>0</v>
          </cell>
          <cell r="AD134">
            <v>0</v>
          </cell>
          <cell r="AE134">
            <v>0</v>
          </cell>
          <cell r="AF134">
            <v>0</v>
          </cell>
          <cell r="AG134">
            <v>0</v>
          </cell>
          <cell r="AH134">
            <v>0</v>
          </cell>
        </row>
        <row r="135">
          <cell r="AA135">
            <v>0</v>
          </cell>
          <cell r="AB135">
            <v>0</v>
          </cell>
          <cell r="AC135">
            <v>0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</row>
        <row r="136">
          <cell r="AA136">
            <v>0</v>
          </cell>
          <cell r="AB136">
            <v>0</v>
          </cell>
          <cell r="AC136">
            <v>0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</row>
        <row r="137">
          <cell r="AA137">
            <v>0</v>
          </cell>
          <cell r="AB137">
            <v>0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</row>
        <row r="138">
          <cell r="AA138">
            <v>0</v>
          </cell>
          <cell r="AB138">
            <v>0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</row>
        <row r="139">
          <cell r="AA139">
            <v>0</v>
          </cell>
          <cell r="AB139">
            <v>0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</row>
        <row r="140">
          <cell r="AA140">
            <v>0</v>
          </cell>
          <cell r="AB140">
            <v>0</v>
          </cell>
          <cell r="AC140">
            <v>0</v>
          </cell>
          <cell r="AD140">
            <v>0</v>
          </cell>
          <cell r="AE140">
            <v>0</v>
          </cell>
          <cell r="AF140">
            <v>0</v>
          </cell>
          <cell r="AG140">
            <v>0</v>
          </cell>
          <cell r="AH140">
            <v>0</v>
          </cell>
        </row>
        <row r="141">
          <cell r="AA141">
            <v>0</v>
          </cell>
          <cell r="AB141">
            <v>0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</row>
        <row r="142">
          <cell r="AA142">
            <v>0</v>
          </cell>
          <cell r="AB142">
            <v>0</v>
          </cell>
          <cell r="AC142">
            <v>0</v>
          </cell>
          <cell r="AD142">
            <v>0</v>
          </cell>
          <cell r="AE142">
            <v>0</v>
          </cell>
          <cell r="AF142">
            <v>0</v>
          </cell>
          <cell r="AG142">
            <v>0</v>
          </cell>
          <cell r="AH142">
            <v>0</v>
          </cell>
        </row>
        <row r="143">
          <cell r="AA143">
            <v>0</v>
          </cell>
          <cell r="AB143">
            <v>0</v>
          </cell>
          <cell r="AC143">
            <v>0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</row>
        <row r="144">
          <cell r="AA144">
            <v>0</v>
          </cell>
          <cell r="AB144">
            <v>0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</row>
        <row r="145">
          <cell r="AA145">
            <v>0</v>
          </cell>
          <cell r="AB145">
            <v>0</v>
          </cell>
          <cell r="AC145">
            <v>0</v>
          </cell>
          <cell r="AD145">
            <v>0</v>
          </cell>
          <cell r="AE145">
            <v>0</v>
          </cell>
          <cell r="AF145">
            <v>0</v>
          </cell>
          <cell r="AG145">
            <v>0</v>
          </cell>
          <cell r="AH145">
            <v>0</v>
          </cell>
        </row>
        <row r="146">
          <cell r="AA146">
            <v>0</v>
          </cell>
          <cell r="AB146">
            <v>0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0</v>
          </cell>
          <cell r="AH146">
            <v>0</v>
          </cell>
        </row>
        <row r="147">
          <cell r="AA147">
            <v>0</v>
          </cell>
          <cell r="AB147">
            <v>0</v>
          </cell>
          <cell r="AC147">
            <v>0</v>
          </cell>
          <cell r="AD147">
            <v>0</v>
          </cell>
          <cell r="AE147">
            <v>0</v>
          </cell>
          <cell r="AF147">
            <v>0</v>
          </cell>
          <cell r="AG147">
            <v>0</v>
          </cell>
          <cell r="AH147">
            <v>0</v>
          </cell>
        </row>
        <row r="148">
          <cell r="AA148">
            <v>0</v>
          </cell>
          <cell r="AB148">
            <v>0</v>
          </cell>
          <cell r="AC148">
            <v>0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0</v>
          </cell>
        </row>
        <row r="149">
          <cell r="AA149">
            <v>0</v>
          </cell>
          <cell r="AB149">
            <v>0</v>
          </cell>
          <cell r="AC149">
            <v>0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0</v>
          </cell>
        </row>
        <row r="150"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0</v>
          </cell>
          <cell r="AH150">
            <v>0</v>
          </cell>
        </row>
        <row r="151">
          <cell r="AA151">
            <v>0</v>
          </cell>
          <cell r="AB151">
            <v>0</v>
          </cell>
          <cell r="AC151">
            <v>0</v>
          </cell>
          <cell r="AD151">
            <v>0</v>
          </cell>
          <cell r="AE151">
            <v>0</v>
          </cell>
          <cell r="AF151">
            <v>0</v>
          </cell>
          <cell r="AG151">
            <v>0</v>
          </cell>
          <cell r="AH151">
            <v>0</v>
          </cell>
        </row>
        <row r="152">
          <cell r="AA152">
            <v>0</v>
          </cell>
          <cell r="AB152">
            <v>0</v>
          </cell>
          <cell r="AC152">
            <v>0</v>
          </cell>
          <cell r="AD152">
            <v>0</v>
          </cell>
          <cell r="AE152">
            <v>0</v>
          </cell>
          <cell r="AF152">
            <v>0</v>
          </cell>
          <cell r="AG152">
            <v>0</v>
          </cell>
          <cell r="AH152">
            <v>0</v>
          </cell>
        </row>
        <row r="153">
          <cell r="AA153">
            <v>0</v>
          </cell>
          <cell r="AB153">
            <v>0</v>
          </cell>
          <cell r="AC153">
            <v>0</v>
          </cell>
          <cell r="AD153">
            <v>0</v>
          </cell>
          <cell r="AE153">
            <v>0</v>
          </cell>
          <cell r="AF153">
            <v>0</v>
          </cell>
          <cell r="AG153">
            <v>0</v>
          </cell>
          <cell r="AH153">
            <v>0</v>
          </cell>
        </row>
        <row r="154">
          <cell r="AA154">
            <v>0</v>
          </cell>
          <cell r="AB154">
            <v>0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0</v>
          </cell>
          <cell r="AH154">
            <v>0</v>
          </cell>
        </row>
        <row r="155">
          <cell r="AA155">
            <v>0</v>
          </cell>
          <cell r="AB155">
            <v>0</v>
          </cell>
          <cell r="AC155">
            <v>0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</row>
        <row r="156">
          <cell r="AA156">
            <v>0</v>
          </cell>
          <cell r="AB156">
            <v>0</v>
          </cell>
          <cell r="AC156">
            <v>0</v>
          </cell>
          <cell r="AD156">
            <v>0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</row>
        <row r="157">
          <cell r="AA157">
            <v>0</v>
          </cell>
          <cell r="AB157">
            <v>0</v>
          </cell>
          <cell r="AC157">
            <v>0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</row>
        <row r="158">
          <cell r="AA158">
            <v>0</v>
          </cell>
          <cell r="AB158">
            <v>0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0</v>
          </cell>
        </row>
        <row r="159">
          <cell r="AA159">
            <v>0</v>
          </cell>
          <cell r="AB159">
            <v>0</v>
          </cell>
          <cell r="AC159">
            <v>0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</row>
        <row r="160">
          <cell r="AA160">
            <v>0</v>
          </cell>
          <cell r="AB160">
            <v>0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0</v>
          </cell>
          <cell r="AH160">
            <v>0</v>
          </cell>
        </row>
        <row r="161">
          <cell r="AA161">
            <v>0</v>
          </cell>
          <cell r="AB161">
            <v>0</v>
          </cell>
          <cell r="AC161">
            <v>0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</row>
        <row r="162">
          <cell r="AA162">
            <v>0</v>
          </cell>
          <cell r="AB162">
            <v>0</v>
          </cell>
          <cell r="AC162">
            <v>0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0</v>
          </cell>
        </row>
        <row r="163">
          <cell r="AA163">
            <v>0</v>
          </cell>
          <cell r="AB163">
            <v>0</v>
          </cell>
          <cell r="AC163">
            <v>0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</row>
        <row r="164">
          <cell r="AA164">
            <v>0</v>
          </cell>
          <cell r="AB164">
            <v>0</v>
          </cell>
          <cell r="AC164">
            <v>0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0</v>
          </cell>
        </row>
        <row r="165">
          <cell r="AA165">
            <v>0</v>
          </cell>
          <cell r="AB165">
            <v>0</v>
          </cell>
          <cell r="AC165">
            <v>0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0</v>
          </cell>
        </row>
        <row r="166">
          <cell r="AA166">
            <v>0</v>
          </cell>
          <cell r="AB166">
            <v>0</v>
          </cell>
          <cell r="AC166">
            <v>0</v>
          </cell>
          <cell r="AD166">
            <v>0</v>
          </cell>
          <cell r="AE166">
            <v>0</v>
          </cell>
          <cell r="AF166">
            <v>0</v>
          </cell>
          <cell r="AG166">
            <v>0</v>
          </cell>
          <cell r="AH166">
            <v>0</v>
          </cell>
        </row>
        <row r="167">
          <cell r="AA167">
            <v>0</v>
          </cell>
          <cell r="AB167">
            <v>0</v>
          </cell>
          <cell r="AC167">
            <v>0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</row>
        <row r="168">
          <cell r="AA168">
            <v>0</v>
          </cell>
          <cell r="AB168">
            <v>0</v>
          </cell>
          <cell r="AC168">
            <v>0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</row>
        <row r="169">
          <cell r="AA169">
            <v>0</v>
          </cell>
          <cell r="AB169">
            <v>0</v>
          </cell>
          <cell r="AC169">
            <v>0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0</v>
          </cell>
        </row>
        <row r="170">
          <cell r="AA170">
            <v>0</v>
          </cell>
          <cell r="AB170">
            <v>0</v>
          </cell>
          <cell r="AC170">
            <v>0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</row>
        <row r="171">
          <cell r="AA171">
            <v>0</v>
          </cell>
          <cell r="AB171">
            <v>0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0</v>
          </cell>
        </row>
        <row r="172">
          <cell r="AA172">
            <v>0</v>
          </cell>
          <cell r="AB172">
            <v>0</v>
          </cell>
          <cell r="AC172">
            <v>0</v>
          </cell>
          <cell r="AD172">
            <v>0</v>
          </cell>
          <cell r="AE172">
            <v>0</v>
          </cell>
          <cell r="AF172">
            <v>0</v>
          </cell>
          <cell r="AG172">
            <v>0</v>
          </cell>
          <cell r="AH172">
            <v>0</v>
          </cell>
        </row>
        <row r="173">
          <cell r="AA173">
            <v>0</v>
          </cell>
          <cell r="AB173">
            <v>0</v>
          </cell>
          <cell r="AC173">
            <v>0</v>
          </cell>
          <cell r="AD173">
            <v>0</v>
          </cell>
          <cell r="AE173">
            <v>0</v>
          </cell>
          <cell r="AF173">
            <v>0</v>
          </cell>
          <cell r="AG173">
            <v>0</v>
          </cell>
          <cell r="AH173">
            <v>0</v>
          </cell>
        </row>
        <row r="174">
          <cell r="AA174">
            <v>0</v>
          </cell>
          <cell r="AB174">
            <v>0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</row>
        <row r="175"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</row>
        <row r="176">
          <cell r="AA176">
            <v>0</v>
          </cell>
          <cell r="AB176">
            <v>0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</row>
        <row r="177">
          <cell r="AA177">
            <v>0</v>
          </cell>
          <cell r="AB177">
            <v>0</v>
          </cell>
          <cell r="AC177">
            <v>0</v>
          </cell>
          <cell r="AD177">
            <v>0</v>
          </cell>
          <cell r="AE177">
            <v>0</v>
          </cell>
          <cell r="AF177">
            <v>0</v>
          </cell>
          <cell r="AG177">
            <v>0</v>
          </cell>
          <cell r="AH177">
            <v>0</v>
          </cell>
        </row>
      </sheetData>
      <sheetData sheetId="1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3366-ED62-45D8-8F76-749611206455}">
  <sheetPr codeName="Sheet1"/>
  <dimension ref="A1:AC6"/>
  <sheetViews>
    <sheetView workbookViewId="0">
      <selection activeCell="C16" sqref="C16"/>
    </sheetView>
  </sheetViews>
  <sheetFormatPr defaultRowHeight="15"/>
  <cols>
    <col min="2" max="2" width="12.140625" bestFit="1" customWidth="1"/>
    <col min="3" max="3" width="19.140625" bestFit="1" customWidth="1"/>
    <col min="4" max="4" width="18.5703125" bestFit="1" customWidth="1"/>
    <col min="5" max="5" width="51" bestFit="1" customWidth="1"/>
    <col min="6" max="6" width="19.7109375" bestFit="1" customWidth="1"/>
    <col min="7" max="7" width="6.28515625" bestFit="1" customWidth="1"/>
    <col min="8" max="8" width="38.5703125" bestFit="1" customWidth="1"/>
    <col min="9" max="9" width="13.28515625" bestFit="1" customWidth="1"/>
    <col min="10" max="10" width="17.5703125" bestFit="1" customWidth="1"/>
    <col min="12" max="12" width="15.7109375" bestFit="1" customWidth="1"/>
    <col min="13" max="13" width="8" bestFit="1" customWidth="1"/>
    <col min="14" max="14" width="8.28515625" bestFit="1" customWidth="1"/>
    <col min="15" max="15" width="8" bestFit="1" customWidth="1"/>
    <col min="16" max="16" width="7.42578125" bestFit="1" customWidth="1"/>
    <col min="17" max="17" width="11" bestFit="1" customWidth="1"/>
    <col min="18" max="18" width="5" bestFit="1" customWidth="1"/>
    <col min="19" max="19" width="12.7109375" bestFit="1" customWidth="1"/>
    <col min="20" max="21" width="12" bestFit="1" customWidth="1"/>
    <col min="22" max="22" width="16.140625" bestFit="1" customWidth="1"/>
    <col min="23" max="25" width="12" bestFit="1" customWidth="1"/>
    <col min="26" max="26" width="10.5703125" bestFit="1" customWidth="1"/>
    <col min="27" max="27" width="21.85546875" bestFit="1" customWidth="1"/>
    <col min="28" max="28" width="17" bestFit="1" customWidth="1"/>
    <col min="29" max="29" width="8.7109375" bestFit="1" customWidth="1"/>
  </cols>
  <sheetData>
    <row r="1" spans="1:29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24</v>
      </c>
      <c r="G1" s="4" t="s">
        <v>25</v>
      </c>
      <c r="H1" s="5" t="s">
        <v>41</v>
      </c>
      <c r="I1" s="4" t="s">
        <v>26</v>
      </c>
      <c r="J1" s="4" t="s">
        <v>27</v>
      </c>
      <c r="K1" s="4" t="s">
        <v>36</v>
      </c>
      <c r="L1" s="5" t="s">
        <v>0</v>
      </c>
      <c r="M1" s="5" t="s">
        <v>6</v>
      </c>
      <c r="N1" s="5" t="s">
        <v>7</v>
      </c>
      <c r="O1" s="5" t="s">
        <v>8</v>
      </c>
      <c r="P1" s="5" t="s">
        <v>9</v>
      </c>
      <c r="Q1" s="5" t="s">
        <v>10</v>
      </c>
      <c r="R1" s="5" t="s">
        <v>11</v>
      </c>
      <c r="S1" s="5" t="s">
        <v>12</v>
      </c>
      <c r="T1" s="5" t="s">
        <v>13</v>
      </c>
      <c r="U1" s="5" t="s">
        <v>14</v>
      </c>
      <c r="V1" s="5" t="s">
        <v>15</v>
      </c>
      <c r="W1" s="5" t="s">
        <v>16</v>
      </c>
      <c r="X1" s="5" t="s">
        <v>17</v>
      </c>
      <c r="Y1" s="5" t="s">
        <v>18</v>
      </c>
      <c r="Z1" s="4" t="s">
        <v>37</v>
      </c>
      <c r="AA1" s="4" t="s">
        <v>38</v>
      </c>
      <c r="AB1" s="4" t="s">
        <v>39</v>
      </c>
      <c r="AC1" s="4" t="s">
        <v>40</v>
      </c>
    </row>
    <row r="2" spans="1:29">
      <c r="A2" s="4" t="s">
        <v>28</v>
      </c>
      <c r="B2" s="4" t="s">
        <v>29</v>
      </c>
      <c r="C2" s="4" t="s">
        <v>30</v>
      </c>
      <c r="D2" s="4" t="s">
        <v>31</v>
      </c>
      <c r="E2" s="4" t="s">
        <v>32</v>
      </c>
      <c r="F2" s="4" t="s">
        <v>33</v>
      </c>
      <c r="G2" s="4" t="s">
        <v>34</v>
      </c>
      <c r="H2" s="5" t="s">
        <v>42</v>
      </c>
      <c r="I2" s="4" t="s">
        <v>35</v>
      </c>
      <c r="J2" s="4" t="s">
        <v>35</v>
      </c>
      <c r="K2" s="4"/>
      <c r="L2" s="5" t="s">
        <v>1</v>
      </c>
      <c r="M2" s="5">
        <v>8784000</v>
      </c>
      <c r="N2" s="5">
        <v>8784000</v>
      </c>
      <c r="O2" s="5">
        <v>2180880</v>
      </c>
      <c r="P2" s="5">
        <v>0</v>
      </c>
      <c r="Q2" s="5">
        <v>765961.92</v>
      </c>
      <c r="R2" s="5">
        <v>0</v>
      </c>
      <c r="S2" s="5">
        <v>4735097.352</v>
      </c>
      <c r="T2" s="5">
        <v>3403985.5868530162</v>
      </c>
      <c r="U2" s="5">
        <v>1331111.7651469838</v>
      </c>
      <c r="V2" s="5">
        <v>0.45170789654946397</v>
      </c>
      <c r="W2" s="5">
        <v>349570.2005730659</v>
      </c>
      <c r="X2" s="5">
        <v>981541.56457391789</v>
      </c>
      <c r="Y2" s="5">
        <v>0.29776057382148002</v>
      </c>
      <c r="Z2" s="4"/>
      <c r="AA2" s="4"/>
      <c r="AB2" s="4"/>
      <c r="AC2" s="4"/>
    </row>
    <row r="3" spans="1:29">
      <c r="A3" s="4" t="s">
        <v>28</v>
      </c>
      <c r="B3" s="4" t="s">
        <v>29</v>
      </c>
      <c r="C3" s="4" t="s">
        <v>30</v>
      </c>
      <c r="D3" s="4" t="s">
        <v>31</v>
      </c>
      <c r="E3" s="4" t="s">
        <v>32</v>
      </c>
      <c r="F3" s="4" t="s">
        <v>33</v>
      </c>
      <c r="G3" s="4" t="s">
        <v>34</v>
      </c>
      <c r="H3" s="5" t="s">
        <v>42</v>
      </c>
      <c r="I3" s="4" t="s">
        <v>43</v>
      </c>
      <c r="J3" s="4" t="s">
        <v>43</v>
      </c>
      <c r="K3" s="4"/>
      <c r="L3" s="5" t="s">
        <v>2</v>
      </c>
      <c r="M3" s="5">
        <v>6307200</v>
      </c>
      <c r="N3" s="5">
        <v>6307200</v>
      </c>
      <c r="O3" s="5">
        <v>1692000</v>
      </c>
      <c r="P3" s="5">
        <v>0</v>
      </c>
      <c r="Q3" s="5">
        <v>535363.20000000007</v>
      </c>
      <c r="R3" s="5">
        <v>0</v>
      </c>
      <c r="S3" s="5">
        <v>3309559.92</v>
      </c>
      <c r="T3" s="5">
        <v>1510086.0963090253</v>
      </c>
      <c r="U3" s="5">
        <v>1799473.8236909746</v>
      </c>
      <c r="V3" s="5">
        <v>0.80789420588926608</v>
      </c>
      <c r="W3" s="5">
        <v>251002.86532951289</v>
      </c>
      <c r="X3" s="5">
        <v>1548470.9583614618</v>
      </c>
      <c r="Y3" s="5">
        <v>0.6247950938416289</v>
      </c>
      <c r="Z3" s="4"/>
      <c r="AA3" s="4"/>
      <c r="AB3" s="4"/>
      <c r="AC3" s="4"/>
    </row>
    <row r="4" spans="1:29">
      <c r="A4" s="4" t="s">
        <v>28</v>
      </c>
      <c r="B4" s="4" t="s">
        <v>29</v>
      </c>
      <c r="C4" s="4" t="s">
        <v>30</v>
      </c>
      <c r="D4" s="4" t="s">
        <v>31</v>
      </c>
      <c r="E4" s="4" t="s">
        <v>32</v>
      </c>
      <c r="F4" s="4" t="s">
        <v>33</v>
      </c>
      <c r="G4" s="4" t="s">
        <v>34</v>
      </c>
      <c r="H4" s="5" t="s">
        <v>42</v>
      </c>
      <c r="I4" s="4" t="s">
        <v>44</v>
      </c>
      <c r="J4" s="4" t="s">
        <v>44</v>
      </c>
      <c r="K4" s="4"/>
      <c r="L4" s="5" t="s">
        <v>3</v>
      </c>
      <c r="M4" s="5">
        <v>8668800</v>
      </c>
      <c r="N4" s="5">
        <v>8668800</v>
      </c>
      <c r="O4" s="5">
        <v>1907136</v>
      </c>
      <c r="P4" s="5">
        <v>0</v>
      </c>
      <c r="Q4" s="5">
        <v>784353.02399999998</v>
      </c>
      <c r="R4" s="5">
        <v>0</v>
      </c>
      <c r="S4" s="5">
        <v>4848789.2544</v>
      </c>
      <c r="T4" s="5">
        <v>1877727.5510380445</v>
      </c>
      <c r="U4" s="5">
        <v>2971061.7033619555</v>
      </c>
      <c r="V4" s="5">
        <v>1.1038728662346406</v>
      </c>
      <c r="W4" s="5">
        <v>344985.67335243552</v>
      </c>
      <c r="X4" s="5">
        <v>2626076.0300095198</v>
      </c>
      <c r="Y4" s="5">
        <v>0.86484370586036796</v>
      </c>
      <c r="Z4" s="4"/>
      <c r="AA4" s="4"/>
      <c r="AB4" s="4"/>
      <c r="AC4" s="4"/>
    </row>
    <row r="5" spans="1:29">
      <c r="A5" s="4" t="s">
        <v>28</v>
      </c>
      <c r="B5" s="4" t="s">
        <v>29</v>
      </c>
      <c r="C5" s="4" t="s">
        <v>30</v>
      </c>
      <c r="D5" s="4" t="s">
        <v>31</v>
      </c>
      <c r="E5" s="4" t="s">
        <v>32</v>
      </c>
      <c r="F5" s="4" t="s">
        <v>33</v>
      </c>
      <c r="G5" s="4" t="s">
        <v>34</v>
      </c>
      <c r="H5" s="5" t="s">
        <v>42</v>
      </c>
      <c r="I5" s="4" t="s">
        <v>45</v>
      </c>
      <c r="J5" s="4" t="s">
        <v>45</v>
      </c>
      <c r="K5" s="4"/>
      <c r="L5" s="5" t="s">
        <v>4</v>
      </c>
      <c r="M5" s="5">
        <v>720000</v>
      </c>
      <c r="N5" s="5">
        <v>720000</v>
      </c>
      <c r="O5" s="5">
        <v>158400</v>
      </c>
      <c r="P5" s="5">
        <v>0</v>
      </c>
      <c r="Q5" s="5">
        <v>65145.600000000006</v>
      </c>
      <c r="R5" s="5">
        <v>0</v>
      </c>
      <c r="S5" s="5">
        <v>402723.36000000004</v>
      </c>
      <c r="T5" s="5">
        <v>135695.25298544439</v>
      </c>
      <c r="U5" s="5">
        <v>267028.10701455566</v>
      </c>
      <c r="V5" s="5">
        <v>1.1945129182348284</v>
      </c>
      <c r="W5" s="5">
        <v>28653.29512893983</v>
      </c>
      <c r="X5" s="5">
        <v>238374.81188561584</v>
      </c>
      <c r="Y5" s="5">
        <v>0.9451857898256999</v>
      </c>
      <c r="Z5" s="4"/>
      <c r="AA5" s="4"/>
      <c r="AB5" s="4"/>
      <c r="AC5" s="4"/>
    </row>
    <row r="6" spans="1:29">
      <c r="A6" s="4" t="s">
        <v>28</v>
      </c>
      <c r="B6" s="4" t="s">
        <v>29</v>
      </c>
      <c r="C6" s="4" t="s">
        <v>30</v>
      </c>
      <c r="D6" s="4" t="s">
        <v>31</v>
      </c>
      <c r="E6" s="4" t="s">
        <v>32</v>
      </c>
      <c r="F6" s="4" t="s">
        <v>33</v>
      </c>
      <c r="G6" s="4" t="s">
        <v>34</v>
      </c>
      <c r="H6" s="5" t="s">
        <v>42</v>
      </c>
      <c r="I6" s="4" t="s">
        <v>46</v>
      </c>
      <c r="J6" s="4" t="s">
        <v>46</v>
      </c>
      <c r="K6" s="4"/>
      <c r="L6" s="5" t="s">
        <v>5</v>
      </c>
      <c r="M6" s="5">
        <v>648000</v>
      </c>
      <c r="N6" s="5">
        <v>648000</v>
      </c>
      <c r="O6" s="5">
        <v>142560</v>
      </c>
      <c r="P6" s="5">
        <v>0</v>
      </c>
      <c r="Q6" s="5">
        <v>58631.040000000001</v>
      </c>
      <c r="R6" s="5">
        <v>0</v>
      </c>
      <c r="S6" s="5">
        <v>362451.02400000003</v>
      </c>
      <c r="T6" s="5">
        <v>145672.2422246412</v>
      </c>
      <c r="U6" s="5">
        <v>216778.78177535883</v>
      </c>
      <c r="V6" s="5">
        <v>1.0774773159647608</v>
      </c>
      <c r="W6" s="5">
        <v>25787.965616045843</v>
      </c>
      <c r="X6" s="5">
        <v>190990.81615931299</v>
      </c>
      <c r="Y6" s="5">
        <v>0.84144705648411411</v>
      </c>
      <c r="Z6" s="4"/>
      <c r="AA6" s="4"/>
      <c r="AB6" s="4"/>
      <c r="AC6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DE94E-5807-41C5-A161-22F75150EFBE}">
  <sheetPr codeName="Sheet3"/>
  <dimension ref="A1:AC7"/>
  <sheetViews>
    <sheetView tabSelected="1" zoomScaleNormal="100" workbookViewId="0">
      <selection activeCell="A14" sqref="A14"/>
    </sheetView>
  </sheetViews>
  <sheetFormatPr defaultRowHeight="15"/>
  <cols>
    <col min="1" max="1" width="39.140625" customWidth="1"/>
    <col min="8" max="8" width="19.42578125" customWidth="1"/>
    <col min="12" max="12" width="12.42578125" customWidth="1"/>
  </cols>
  <sheetData>
    <row r="1" spans="1:29" ht="56.25">
      <c r="A1" s="2" t="s">
        <v>19</v>
      </c>
      <c r="B1" s="7" t="s">
        <v>0</v>
      </c>
      <c r="C1" s="6" t="s">
        <v>6</v>
      </c>
      <c r="D1" s="6" t="s">
        <v>7</v>
      </c>
      <c r="E1" s="6" t="s">
        <v>8</v>
      </c>
      <c r="F1" s="6" t="s">
        <v>9</v>
      </c>
      <c r="G1" s="6" t="s">
        <v>10</v>
      </c>
      <c r="H1" s="6" t="s">
        <v>11</v>
      </c>
      <c r="I1" s="6" t="s">
        <v>12</v>
      </c>
      <c r="J1" s="6" t="s">
        <v>13</v>
      </c>
      <c r="K1" s="6" t="s">
        <v>14</v>
      </c>
      <c r="L1" s="8" t="s">
        <v>15</v>
      </c>
      <c r="M1" s="6" t="s">
        <v>16</v>
      </c>
      <c r="N1" s="6" t="s">
        <v>17</v>
      </c>
      <c r="O1" s="8" t="s">
        <v>18</v>
      </c>
      <c r="P1" s="3" t="s">
        <v>9</v>
      </c>
      <c r="Q1" s="3" t="s">
        <v>10</v>
      </c>
      <c r="R1" s="3" t="s">
        <v>11</v>
      </c>
      <c r="S1" s="3" t="s">
        <v>12</v>
      </c>
      <c r="T1" s="3" t="s">
        <v>13</v>
      </c>
      <c r="U1" s="3" t="s">
        <v>14</v>
      </c>
      <c r="V1" s="3" t="s">
        <v>15</v>
      </c>
      <c r="W1" s="3" t="s">
        <v>16</v>
      </c>
      <c r="X1" s="3" t="s">
        <v>17</v>
      </c>
      <c r="Y1" s="3" t="s">
        <v>18</v>
      </c>
      <c r="Z1" s="2" t="s">
        <v>37</v>
      </c>
      <c r="AA1" s="2" t="s">
        <v>38</v>
      </c>
      <c r="AB1" s="2" t="s">
        <v>39</v>
      </c>
      <c r="AC1" s="2" t="s">
        <v>40</v>
      </c>
    </row>
    <row r="2" spans="1:29" ht="21">
      <c r="A2" s="2" t="s">
        <v>28</v>
      </c>
      <c r="B2" s="7" t="s">
        <v>1</v>
      </c>
      <c r="C2" s="9">
        <f>SUMIFS('[1]Only for Info_ Pre-Eval% TCC'!$AD$39:$AD$177,'[1]Only for Info_ Pre-Eval% TCC'!$AE$39:$AE$177,'[1]PL Pre-Pack'!Q$4)</f>
        <v>8784000</v>
      </c>
      <c r="D2" s="9">
        <f>C2</f>
        <v>8784000</v>
      </c>
      <c r="E2" s="9">
        <f>SUMIFS('[1]Only for Info_ Pre-Eval% TCC'!$AF$39:$AF$177,'[1]Only for Info_ Pre-Eval% TCC'!$AE$39:$AE$177,'[1]PL Pre-Pack'!Q$4)</f>
        <v>2180880</v>
      </c>
      <c r="F2" s="9">
        <f>SUMIFS('[1]Only for Info_ Pre-Eval% TCC'!$AG$39:$AG$177,'[1]Only for Info_ Pre-Eval% TCC'!$AE$39:$AE$177,'[1]PL Pre-Pack'!Q$4)</f>
        <v>0</v>
      </c>
      <c r="G2" s="9">
        <f>IF('[1]Only for Info_ Pre-Eval% TCC'!$D$39="DIXY",SUMIF('[1]Only for Info_ Pre-Eval% TCC'!$AE$39:$AE$177,'[1]PL Pre-Pack'!A21,'[1]Only for Info_ Pre-Eval% TCC'!$AC$39:$AC$177),IF(#REF!=1,'[1]Only for Info_ Pre-Eval% TCC'!$F$23,0))</f>
        <v>0</v>
      </c>
      <c r="H2" s="9" t="e">
        <f>IF('[1]Only for Info_ Pre-Eval% TCC'!$D$39="DIXY",'[1]Only for Info_ Pre-Eval% TCC'!$F$24*'[1]PL Pre-Pack'!B21/'[1]PL Pre-Pack'!$B$14,IF(#REF!=1,'[1]Only for Info_ Pre-Eval% TCC'!$F$24,0))</f>
        <v>#VALUE!</v>
      </c>
      <c r="I2" s="9" t="e">
        <f>SUMIF('[1]Only for Info_ Pre-Eval% TCC'!$AE$39:$AE$177,'[1]PL Pre-Pack'!$A21,'[1]Only for Info_ Pre-Eval% TCC'!$AB$39:$AB$177)-F2-G2-H2-SUMIF('[1]Only for Info_ Pre-Eval% TCC'!$AE$39:$AE$177,'[1]PL Pre-Pack'!A21,'[1]Only for Info_ Pre-Eval% TCC'!$AH$39:$AH$177)</f>
        <v>#VALUE!</v>
      </c>
      <c r="J2" s="9" t="e">
        <f>-(K2-I2)</f>
        <v>#VALUE!</v>
      </c>
      <c r="K2" s="9" t="e">
        <f>SUMIF('[1]Only for Info_ Pre-Eval% TCC'!$AE$39:$AE$177,'[1]PL Pre-Pack'!$A21,'[1]Only for Info_ Pre-Eval% TCC'!$AA$39:$AA$177)-H2-V21</f>
        <v>#VALUE!</v>
      </c>
      <c r="L2" s="10">
        <f>IFERROR((K2)/(E2+F2+G2+H2),0)</f>
        <v>0</v>
      </c>
      <c r="M2" s="9" t="e">
        <f>IF('[1]Only for Info_ Pre-Eval% TCC'!$D$39="DIXY",('[1]Only for Info_ Pre-Eval% TCC'!$F$34+'[1]Only for Info_ Pre-Eval% TCC'!$F$35)*'[1]PL Pre-Pack'!B21/'[1]PL Pre-Pack'!$B$14,IF(#REF!=1,('[1]Only for Info_ Pre-Eval% TCC'!$F$34+'[1]Only for Info_ Pre-Eval% TCC'!$F$35),0))</f>
        <v>#VALUE!</v>
      </c>
      <c r="N2" s="9" t="e">
        <f>K2-M2</f>
        <v>#VALUE!</v>
      </c>
      <c r="O2" s="10">
        <f>IFERROR(N2/(E2+F2+G2+H2+M2),0)</f>
        <v>0</v>
      </c>
      <c r="P2" s="3">
        <v>0</v>
      </c>
      <c r="Q2" s="3">
        <v>765961.92</v>
      </c>
      <c r="R2" s="3">
        <v>0</v>
      </c>
      <c r="S2" s="3">
        <v>4735097.352</v>
      </c>
      <c r="T2" s="3">
        <v>3403985.5868530162</v>
      </c>
      <c r="U2" s="3">
        <v>1331111.7651469838</v>
      </c>
      <c r="V2" s="3">
        <v>0.45170789654946397</v>
      </c>
      <c r="W2" s="3">
        <v>349570.2005730659</v>
      </c>
      <c r="X2" s="3">
        <v>981541.56457391789</v>
      </c>
      <c r="Y2" s="3">
        <v>0.29776057382148002</v>
      </c>
      <c r="Z2" s="2"/>
      <c r="AA2" s="2"/>
      <c r="AB2" s="2"/>
      <c r="AC2" s="2"/>
    </row>
    <row r="3" spans="1:29" ht="21">
      <c r="A3" s="2" t="s">
        <v>28</v>
      </c>
      <c r="B3" s="7" t="s">
        <v>2</v>
      </c>
      <c r="C3" s="9">
        <f>SUMIFS('[1]Only for Info_ Pre-Eval% TCC'!$AD$39:$AD$177,'[1]Only for Info_ Pre-Eval% TCC'!$AE$39:$AE$177,'[1]PL Pre-Pack'!R$4)</f>
        <v>6307200</v>
      </c>
      <c r="D3" s="9">
        <f>C3</f>
        <v>6307200</v>
      </c>
      <c r="E3" s="9">
        <f>SUMIFS('[1]Only for Info_ Pre-Eval% TCC'!$AF$39:$AF$177,'[1]Only for Info_ Pre-Eval% TCC'!$AE$39:$AE$177,'[1]PL Pre-Pack'!R$4)</f>
        <v>1692000</v>
      </c>
      <c r="F3" s="9">
        <f>SUMIFS('[1]Only for Info_ Pre-Eval% TCC'!$AG$39:$AG$177,'[1]Only for Info_ Pre-Eval% TCC'!$AE$39:$AE$177,'[1]PL Pre-Pack'!R$4)</f>
        <v>0</v>
      </c>
      <c r="G3" s="9">
        <f>IF('[1]Only for Info_ Pre-Eval% TCC'!$D$39="DIXY",SUMIF('[1]Only for Info_ Pre-Eval% TCC'!$AE$39:$AE$177,'[1]PL Pre-Pack'!A22,'[1]Only for Info_ Pre-Eval% TCC'!$AC$39:$AC$177),IF(#REF!=1,'[1]Only for Info_ Pre-Eval% TCC'!$F$23,0))</f>
        <v>0</v>
      </c>
      <c r="H3" s="9" t="e">
        <f>IF('[1]Only for Info_ Pre-Eval% TCC'!$D$39="DIXY",'[1]Only for Info_ Pre-Eval% TCC'!$F$24*'[1]PL Pre-Pack'!B22/'[1]PL Pre-Pack'!$B$14,IF(#REF!=1,'[1]Only for Info_ Pre-Eval% TCC'!$F$24,0))</f>
        <v>#VALUE!</v>
      </c>
      <c r="I3" s="9" t="e">
        <f>SUMIF('[1]Only for Info_ Pre-Eval% TCC'!$AE$39:$AE$177,'[1]PL Pre-Pack'!$A22,'[1]Only for Info_ Pre-Eval% TCC'!$AB$39:$AB$177)-F3-G3-H3-SUMIF('[1]Only for Info_ Pre-Eval% TCC'!$AE$39:$AE$177,'[1]PL Pre-Pack'!A22,'[1]Only for Info_ Pre-Eval% TCC'!$AH$39:$AH$177)</f>
        <v>#VALUE!</v>
      </c>
      <c r="J3" s="9" t="e">
        <f>-(K3-I3)</f>
        <v>#VALUE!</v>
      </c>
      <c r="K3" s="9" t="e">
        <f>SUMIF('[1]Only for Info_ Pre-Eval% TCC'!$AE$39:$AE$177,'[1]PL Pre-Pack'!$A22,'[1]Only for Info_ Pre-Eval% TCC'!$AA$39:$AA$177)-H3-V22</f>
        <v>#VALUE!</v>
      </c>
      <c r="L3" s="10">
        <f>IFERROR((K3)/(E3+F3+G3+H3),0)</f>
        <v>0</v>
      </c>
      <c r="M3" s="9" t="e">
        <f>IF('[1]Only for Info_ Pre-Eval% TCC'!$D$39="DIXY",('[1]Only for Info_ Pre-Eval% TCC'!$F$34+'[1]Only for Info_ Pre-Eval% TCC'!$F$35)*'[1]PL Pre-Pack'!B22/'[1]PL Pre-Pack'!$B$14,IF(#REF!=1,('[1]Only for Info_ Pre-Eval% TCC'!$F$34+'[1]Only for Info_ Pre-Eval% TCC'!$F$35),0))</f>
        <v>#VALUE!</v>
      </c>
      <c r="N3" s="9" t="e">
        <f>K3-M3</f>
        <v>#VALUE!</v>
      </c>
      <c r="O3" s="10">
        <f>IFERROR(N3/(E3+F3+G3+H3+M3),0)</f>
        <v>0</v>
      </c>
      <c r="P3" s="3">
        <v>0</v>
      </c>
      <c r="Q3" s="3">
        <v>535363.20000000007</v>
      </c>
      <c r="R3" s="3">
        <v>0</v>
      </c>
      <c r="S3" s="3">
        <v>3309559.92</v>
      </c>
      <c r="T3" s="3">
        <v>1510086.0963090253</v>
      </c>
      <c r="U3" s="3">
        <v>1799473.8236909746</v>
      </c>
      <c r="V3" s="3">
        <v>0.80789420588926608</v>
      </c>
      <c r="W3" s="3">
        <v>251002.86532951289</v>
      </c>
      <c r="X3" s="3">
        <v>1548470.9583614618</v>
      </c>
      <c r="Y3" s="3">
        <v>0.6247950938416289</v>
      </c>
      <c r="Z3" s="2"/>
      <c r="AA3" s="2"/>
      <c r="AB3" s="2"/>
      <c r="AC3" s="2"/>
    </row>
    <row r="4" spans="1:29" ht="30">
      <c r="A4" s="2" t="s">
        <v>28</v>
      </c>
      <c r="B4" s="7" t="s">
        <v>3</v>
      </c>
      <c r="C4" s="9">
        <f>SUMIFS('[1]Only for Info_ Pre-Eval% TCC'!$AD$39:$AD$177,'[1]Only for Info_ Pre-Eval% TCC'!$AE$39:$AE$177,'[1]PL Pre-Pack'!S$4)</f>
        <v>8668800</v>
      </c>
      <c r="D4" s="9">
        <f>C4</f>
        <v>8668800</v>
      </c>
      <c r="E4" s="9">
        <f>SUMIFS('[1]Only for Info_ Pre-Eval% TCC'!$AF$39:$AF$177,'[1]Only for Info_ Pre-Eval% TCC'!$AE$39:$AE$177,'[1]PL Pre-Pack'!S$4)</f>
        <v>1907136</v>
      </c>
      <c r="F4" s="9">
        <f>SUMIFS('[1]Only for Info_ Pre-Eval% TCC'!$AG$39:$AG$177,'[1]Only for Info_ Pre-Eval% TCC'!$AE$39:$AE$177,'[1]PL Pre-Pack'!S$4)</f>
        <v>0</v>
      </c>
      <c r="G4" s="9">
        <f>IF('[1]Only for Info_ Pre-Eval% TCC'!$D$39="DIXY",SUMIF('[1]Only for Info_ Pre-Eval% TCC'!$AE$39:$AE$177,'[1]PL Pre-Pack'!A23,'[1]Only for Info_ Pre-Eval% TCC'!$AC$39:$AC$177),IF(#REF!=1,'[1]Only for Info_ Pre-Eval% TCC'!$F$23,0))</f>
        <v>0</v>
      </c>
      <c r="H4" s="9" t="e">
        <f>IF('[1]Only for Info_ Pre-Eval% TCC'!$D$39="DIXY",'[1]Only for Info_ Pre-Eval% TCC'!$F$24*'[1]PL Pre-Pack'!B23/'[1]PL Pre-Pack'!$B$14,IF(#REF!=1,'[1]Only for Info_ Pre-Eval% TCC'!$F$24,0))</f>
        <v>#VALUE!</v>
      </c>
      <c r="I4" s="9" t="e">
        <f>SUMIF('[1]Only for Info_ Pre-Eval% TCC'!$AE$39:$AE$177,'[1]PL Pre-Pack'!$A23,'[1]Only for Info_ Pre-Eval% TCC'!$AB$39:$AB$177)-F4-G4-H4-SUMIF('[1]Only for Info_ Pre-Eval% TCC'!$AE$39:$AE$177,'[1]PL Pre-Pack'!A23,'[1]Only for Info_ Pre-Eval% TCC'!$AH$39:$AH$177)</f>
        <v>#VALUE!</v>
      </c>
      <c r="J4" s="9" t="e">
        <f>-(K4-I4)</f>
        <v>#VALUE!</v>
      </c>
      <c r="K4" s="9" t="e">
        <f>SUMIF('[1]Only for Info_ Pre-Eval% TCC'!$AE$39:$AE$177,'[1]PL Pre-Pack'!$A23,'[1]Only for Info_ Pre-Eval% TCC'!$AA$39:$AA$177)-H4-V23</f>
        <v>#VALUE!</v>
      </c>
      <c r="L4" s="10">
        <f>IFERROR((K4)/(E4+F4+G4+H4),0)</f>
        <v>0</v>
      </c>
      <c r="M4" s="9" t="e">
        <f>IF('[1]Only for Info_ Pre-Eval% TCC'!$D$39="DIXY",('[1]Only for Info_ Pre-Eval% TCC'!$F$34+'[1]Only for Info_ Pre-Eval% TCC'!$F$35)*'[1]PL Pre-Pack'!B23/'[1]PL Pre-Pack'!$B$14,IF(#REF!=1,('[1]Only for Info_ Pre-Eval% TCC'!$F$34+'[1]Only for Info_ Pre-Eval% TCC'!$F$35),0))</f>
        <v>#VALUE!</v>
      </c>
      <c r="N4" s="9" t="e">
        <f>K4-M4</f>
        <v>#VALUE!</v>
      </c>
      <c r="O4" s="10">
        <f>IFERROR(N4/(E4+F4+G4+H4+M4),0)</f>
        <v>0</v>
      </c>
      <c r="P4" s="3">
        <v>0</v>
      </c>
      <c r="Q4" s="3">
        <v>784353.02399999998</v>
      </c>
      <c r="R4" s="3">
        <v>0</v>
      </c>
      <c r="S4" s="3">
        <v>4848789.2544</v>
      </c>
      <c r="T4" s="3">
        <v>1877727.5510380445</v>
      </c>
      <c r="U4" s="3">
        <v>2971061.7033619555</v>
      </c>
      <c r="V4" s="3">
        <v>1.1038728662346406</v>
      </c>
      <c r="W4" s="3">
        <v>344985.67335243552</v>
      </c>
      <c r="X4" s="3">
        <v>2626076.0300095198</v>
      </c>
      <c r="Y4" s="3">
        <v>0.86484370586036796</v>
      </c>
      <c r="Z4" s="2"/>
      <c r="AA4" s="2"/>
      <c r="AB4" s="2"/>
      <c r="AC4" s="2"/>
    </row>
    <row r="5" spans="1:29" ht="45">
      <c r="A5" s="2" t="s">
        <v>28</v>
      </c>
      <c r="B5" s="7" t="s">
        <v>4</v>
      </c>
      <c r="C5" s="9">
        <f>SUMIFS('[1]Only for Info_ Pre-Eval% TCC'!$AD$39:$AD$177,'[1]Only for Info_ Pre-Eval% TCC'!$AE$39:$AE$177,'[1]PL Pre-Pack'!T$4)</f>
        <v>720000</v>
      </c>
      <c r="D5" s="9">
        <f>C5</f>
        <v>720000</v>
      </c>
      <c r="E5" s="9">
        <f>SUMIFS('[1]Only for Info_ Pre-Eval% TCC'!$AF$39:$AF$177,'[1]Only for Info_ Pre-Eval% TCC'!$AE$39:$AE$177,'[1]PL Pre-Pack'!T$4)</f>
        <v>158400</v>
      </c>
      <c r="F5" s="9">
        <f>SUMIFS('[1]Only for Info_ Pre-Eval% TCC'!$AG$39:$AG$177,'[1]Only for Info_ Pre-Eval% TCC'!$AE$39:$AE$177,'[1]PL Pre-Pack'!T$4)</f>
        <v>0</v>
      </c>
      <c r="G5" s="9">
        <f>IF('[1]Only for Info_ Pre-Eval% TCC'!$D$39="DIXY",SUMIF('[1]Only for Info_ Pre-Eval% TCC'!$AE$39:$AE$177,'[1]PL Pre-Pack'!A24,'[1]Only for Info_ Pre-Eval% TCC'!$AC$39:$AC$177),IF(#REF!=1,'[1]Only for Info_ Pre-Eval% TCC'!$F$23,0))</f>
        <v>0</v>
      </c>
      <c r="H5" s="9" t="e">
        <f>IF('[1]Only for Info_ Pre-Eval% TCC'!$D$39="DIXY",'[1]Only for Info_ Pre-Eval% TCC'!$F$24*'[1]PL Pre-Pack'!B24/'[1]PL Pre-Pack'!$B$14,IF(#REF!=1,'[1]Only for Info_ Pre-Eval% TCC'!$F$24,0))</f>
        <v>#VALUE!</v>
      </c>
      <c r="I5" s="9" t="e">
        <f>SUMIF('[1]Only for Info_ Pre-Eval% TCC'!$AE$39:$AE$177,'[1]PL Pre-Pack'!$A24,'[1]Only for Info_ Pre-Eval% TCC'!$AB$39:$AB$177)-F5-G5-H5-SUMIF('[1]Only for Info_ Pre-Eval% TCC'!$AE$39:$AE$177,'[1]PL Pre-Pack'!A24,'[1]Only for Info_ Pre-Eval% TCC'!$AH$39:$AH$177)</f>
        <v>#VALUE!</v>
      </c>
      <c r="J5" s="9" t="e">
        <f>-(K5-I5)</f>
        <v>#VALUE!</v>
      </c>
      <c r="K5" s="9" t="e">
        <f>SUMIF('[1]Only for Info_ Pre-Eval% TCC'!$AE$39:$AE$177,'[1]PL Pre-Pack'!$A24,'[1]Only for Info_ Pre-Eval% TCC'!$AA$39:$AA$177)-H5-V24</f>
        <v>#VALUE!</v>
      </c>
      <c r="L5" s="10">
        <f>IFERROR((K5)/(E5+F5+G5+H5),0)</f>
        <v>0</v>
      </c>
      <c r="M5" s="9" t="e">
        <f>IF('[1]Only for Info_ Pre-Eval% TCC'!$D$39="DIXY",('[1]Only for Info_ Pre-Eval% TCC'!$F$34+'[1]Only for Info_ Pre-Eval% TCC'!$F$35)*'[1]PL Pre-Pack'!B24/'[1]PL Pre-Pack'!$B$14,IF(#REF!=1,('[1]Only for Info_ Pre-Eval% TCC'!$F$34+'[1]Only for Info_ Pre-Eval% TCC'!$F$35),0))</f>
        <v>#VALUE!</v>
      </c>
      <c r="N5" s="9" t="e">
        <f>K5-M5</f>
        <v>#VALUE!</v>
      </c>
      <c r="O5" s="10">
        <f>IFERROR(N5/(E5+F5+G5+H5+M5),0)</f>
        <v>0</v>
      </c>
      <c r="P5" s="3">
        <v>0</v>
      </c>
      <c r="Q5" s="3">
        <v>65145.600000000006</v>
      </c>
      <c r="R5" s="3">
        <v>0</v>
      </c>
      <c r="S5" s="3">
        <v>402723.36000000004</v>
      </c>
      <c r="T5" s="3">
        <v>135695.25298544439</v>
      </c>
      <c r="U5" s="3">
        <v>267028.10701455566</v>
      </c>
      <c r="V5" s="3">
        <v>1.1945129182348284</v>
      </c>
      <c r="W5" s="3">
        <v>28653.29512893983</v>
      </c>
      <c r="X5" s="3">
        <v>238374.81188561584</v>
      </c>
      <c r="Y5" s="3">
        <v>0.9451857898256999</v>
      </c>
      <c r="Z5" s="2"/>
      <c r="AA5" s="2"/>
      <c r="AB5" s="2"/>
      <c r="AC5" s="2"/>
    </row>
    <row r="6" spans="1:29" ht="21">
      <c r="A6" s="2" t="s">
        <v>28</v>
      </c>
      <c r="B6" s="7" t="s">
        <v>5</v>
      </c>
      <c r="C6" s="9">
        <f>SUMIFS('[1]Only for Info_ Pre-Eval% TCC'!$AD$39:$AD$177,'[1]Only for Info_ Pre-Eval% TCC'!$AE$39:$AE$177,'[1]PL Pre-Pack'!U$4)</f>
        <v>648000</v>
      </c>
      <c r="D6" s="9">
        <f>C6</f>
        <v>648000</v>
      </c>
      <c r="E6" s="9">
        <f>SUMIFS('[1]Only for Info_ Pre-Eval% TCC'!$AF$39:$AF$177,'[1]Only for Info_ Pre-Eval% TCC'!$AE$39:$AE$177,'[1]PL Pre-Pack'!U$4)</f>
        <v>142560</v>
      </c>
      <c r="F6" s="9">
        <f>SUMIFS('[1]Only for Info_ Pre-Eval% TCC'!$AG$39:$AG$177,'[1]Only for Info_ Pre-Eval% TCC'!$AE$39:$AE$177,'[1]PL Pre-Pack'!U$4)</f>
        <v>0</v>
      </c>
      <c r="G6" s="9">
        <f>IF('[1]Only for Info_ Pre-Eval% TCC'!$D$39="DIXY",SUMIF('[1]Only for Info_ Pre-Eval% TCC'!$AE$39:$AE$177,'[1]PL Pre-Pack'!A25,'[1]Only for Info_ Pre-Eval% TCC'!$AC$39:$AC$177),IF(#REF!=1,'[1]Only for Info_ Pre-Eval% TCC'!$F$23,0))</f>
        <v>0</v>
      </c>
      <c r="H6" s="9" t="e">
        <f>IF('[1]Only for Info_ Pre-Eval% TCC'!$D$39="DIXY",'[1]Only for Info_ Pre-Eval% TCC'!$F$24*'[1]PL Pre-Pack'!B25/'[1]PL Pre-Pack'!$B$14,IF(#REF!=1,'[1]Only for Info_ Pre-Eval% TCC'!$F$24,0))</f>
        <v>#VALUE!</v>
      </c>
      <c r="I6" s="9" t="e">
        <f>SUMIF('[1]Only for Info_ Pre-Eval% TCC'!$AE$39:$AE$177,'[1]PL Pre-Pack'!$A25,'[1]Only for Info_ Pre-Eval% TCC'!$AB$39:$AB$177)-F6-G6-H6-SUMIF('[1]Only for Info_ Pre-Eval% TCC'!$AE$39:$AE$177,'[1]PL Pre-Pack'!A25,'[1]Only for Info_ Pre-Eval% TCC'!$AH$39:$AH$177)</f>
        <v>#VALUE!</v>
      </c>
      <c r="J6" s="9" t="e">
        <f>-(K6-I6)</f>
        <v>#VALUE!</v>
      </c>
      <c r="K6" s="9" t="e">
        <f>SUMIF('[1]Only for Info_ Pre-Eval% TCC'!$AE$39:$AE$177,'[1]PL Pre-Pack'!$A25,'[1]Only for Info_ Pre-Eval% TCC'!$AA$39:$AA$177)-H6-V25</f>
        <v>#VALUE!</v>
      </c>
      <c r="L6" s="10">
        <f>IFERROR((K6)/(E6+F6+G6+H6),0)</f>
        <v>0</v>
      </c>
      <c r="M6" s="9" t="e">
        <f>IF('[1]Only for Info_ Pre-Eval% TCC'!$D$39="DIXY",('[1]Only for Info_ Pre-Eval% TCC'!$F$34+'[1]Only for Info_ Pre-Eval% TCC'!$F$35)*'[1]PL Pre-Pack'!B25/'[1]PL Pre-Pack'!$B$14,IF(#REF!=1,('[1]Only for Info_ Pre-Eval% TCC'!$F$34+'[1]Only for Info_ Pre-Eval% TCC'!$F$35),0))</f>
        <v>#VALUE!</v>
      </c>
      <c r="N6" s="9" t="e">
        <f>K6-M6</f>
        <v>#VALUE!</v>
      </c>
      <c r="O6" s="10">
        <f>IFERROR(N6/(E6+F6+G6+H6+M6),0)</f>
        <v>0</v>
      </c>
      <c r="P6" s="3">
        <v>0</v>
      </c>
      <c r="Q6" s="3">
        <v>58631.040000000001</v>
      </c>
      <c r="R6" s="3">
        <v>0</v>
      </c>
      <c r="S6" s="3">
        <v>362451.02400000003</v>
      </c>
      <c r="T6" s="3">
        <v>145672.2422246412</v>
      </c>
      <c r="U6" s="3">
        <v>216778.78177535883</v>
      </c>
      <c r="V6" s="3">
        <v>1.0774773159647608</v>
      </c>
      <c r="W6" s="3">
        <v>25787.965616045843</v>
      </c>
      <c r="X6" s="3">
        <v>190990.81615931299</v>
      </c>
      <c r="Y6" s="3">
        <v>0.84144705648411411</v>
      </c>
      <c r="Z6" s="2"/>
      <c r="AA6" s="2"/>
      <c r="AB6" s="2"/>
      <c r="AC6" s="2"/>
    </row>
    <row r="7" spans="1:29">
      <c r="A7" s="1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калькуляторhhhhhh23122019135443</vt:lpstr>
      <vt:lpstr>2134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</dc:creator>
  <cp:lastModifiedBy>Заикин Иван</cp:lastModifiedBy>
  <dcterms:created xsi:type="dcterms:W3CDTF">2015-06-05T18:17:20Z</dcterms:created>
  <dcterms:modified xsi:type="dcterms:W3CDTF">2019-12-25T16:13:25Z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dd6fd2de-91a5-4ce9-9e5c-4d62c08f2592</vt:lpwstr>
  </property>
</Properties>
</file>